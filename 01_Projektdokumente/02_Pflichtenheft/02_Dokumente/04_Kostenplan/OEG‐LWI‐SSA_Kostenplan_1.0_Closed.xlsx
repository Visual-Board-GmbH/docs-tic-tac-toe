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827"/>
  <workbookPr/>
  <mc:AlternateContent xmlns:mc="http://schemas.openxmlformats.org/markup-compatibility/2006">
    <mc:Choice Requires="x15">
      <x15ac:absPath xmlns:x15ac="http://schemas.microsoft.com/office/spreadsheetml/2010/11/ac" url="C:\Users\SamuelSalomon\Documents\Repos\Visual Task Board\docs-tic-tac-toe\01_Projektdokumente\05_Anhänge\Dokumente\01_Pflichtenheft\02_Dokumente\02_Kostenplan\"/>
    </mc:Choice>
  </mc:AlternateContent>
  <xr:revisionPtr revIDLastSave="0" documentId="13_ncr:1_{4CF8134C-D579-4C85-8CE3-E4C0CB243749}" xr6:coauthVersionLast="45" xr6:coauthVersionMax="45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76" i="1" l="1"/>
  <c r="E73" i="1"/>
  <c r="F73" i="1" s="1"/>
  <c r="E71" i="1"/>
  <c r="F71" i="1" s="1"/>
  <c r="E68" i="1"/>
  <c r="E65" i="1"/>
  <c r="F65" i="1" s="1"/>
  <c r="E60" i="1"/>
  <c r="E45" i="1"/>
  <c r="F45" i="1" s="1"/>
  <c r="E38" i="1"/>
  <c r="F38" i="1" s="1"/>
  <c r="E33" i="1"/>
  <c r="F33" i="1" s="1"/>
  <c r="E28" i="1"/>
  <c r="F28" i="1" s="1"/>
  <c r="E11" i="1"/>
  <c r="F11" i="1" s="1"/>
  <c r="E9" i="1"/>
  <c r="F9" i="1" s="1"/>
  <c r="E5" i="1"/>
  <c r="F5" i="1" s="1"/>
  <c r="C76" i="1"/>
  <c r="C73" i="1"/>
  <c r="C71" i="1"/>
  <c r="D71" i="1" s="1"/>
  <c r="C68" i="1"/>
  <c r="D68" i="1" s="1"/>
  <c r="C65" i="1"/>
  <c r="D65" i="1" s="1"/>
  <c r="C60" i="1"/>
  <c r="C45" i="1"/>
  <c r="D45" i="1" s="1"/>
  <c r="C38" i="1"/>
  <c r="D38" i="1" s="1"/>
  <c r="C33" i="1"/>
  <c r="D33" i="1" s="1"/>
  <c r="C28" i="1"/>
  <c r="C17" i="1"/>
  <c r="D17" i="1" s="1"/>
  <c r="C11" i="1"/>
  <c r="D11" i="1" s="1"/>
  <c r="C9" i="1"/>
  <c r="D9" i="1" s="1"/>
  <c r="C5" i="1"/>
  <c r="F3" i="1"/>
  <c r="F6" i="1"/>
  <c r="F7" i="1"/>
  <c r="F8" i="1"/>
  <c r="F10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9" i="1"/>
  <c r="F30" i="1"/>
  <c r="F31" i="1"/>
  <c r="F32" i="1"/>
  <c r="F34" i="1"/>
  <c r="F35" i="1"/>
  <c r="F36" i="1"/>
  <c r="F37" i="1"/>
  <c r="F39" i="1"/>
  <c r="F40" i="1"/>
  <c r="F41" i="1"/>
  <c r="F42" i="1"/>
  <c r="F43" i="1"/>
  <c r="F44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61" i="1"/>
  <c r="F62" i="1"/>
  <c r="F63" i="1"/>
  <c r="F64" i="1"/>
  <c r="F66" i="1"/>
  <c r="F67" i="1"/>
  <c r="F68" i="1"/>
  <c r="F69" i="1"/>
  <c r="F70" i="1"/>
  <c r="F72" i="1"/>
  <c r="F74" i="1"/>
  <c r="F75" i="1"/>
  <c r="F76" i="1"/>
  <c r="F77" i="1"/>
  <c r="F78" i="1"/>
  <c r="F79" i="1"/>
  <c r="F80" i="1"/>
  <c r="D6" i="1"/>
  <c r="D7" i="1"/>
  <c r="D8" i="1"/>
  <c r="D10" i="1"/>
  <c r="D12" i="1"/>
  <c r="D13" i="1"/>
  <c r="D14" i="1"/>
  <c r="D15" i="1"/>
  <c r="D16" i="1"/>
  <c r="D18" i="1"/>
  <c r="D19" i="1"/>
  <c r="D20" i="1"/>
  <c r="D21" i="1"/>
  <c r="D22" i="1"/>
  <c r="D23" i="1"/>
  <c r="D24" i="1"/>
  <c r="D25" i="1"/>
  <c r="D26" i="1"/>
  <c r="D29" i="1"/>
  <c r="D30" i="1"/>
  <c r="D31" i="1"/>
  <c r="D32" i="1"/>
  <c r="D34" i="1"/>
  <c r="D35" i="1"/>
  <c r="D36" i="1"/>
  <c r="D37" i="1"/>
  <c r="D39" i="1"/>
  <c r="D40" i="1"/>
  <c r="D41" i="1"/>
  <c r="D42" i="1"/>
  <c r="D43" i="1"/>
  <c r="D44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61" i="1"/>
  <c r="D62" i="1"/>
  <c r="D63" i="1"/>
  <c r="D64" i="1"/>
  <c r="D66" i="1"/>
  <c r="D67" i="1"/>
  <c r="D69" i="1"/>
  <c r="D70" i="1"/>
  <c r="D72" i="1"/>
  <c r="D73" i="1"/>
  <c r="D74" i="1"/>
  <c r="D75" i="1"/>
  <c r="D76" i="1"/>
  <c r="D77" i="1"/>
  <c r="D78" i="1"/>
  <c r="D79" i="1"/>
  <c r="D80" i="1"/>
  <c r="D3" i="1"/>
  <c r="E59" i="1" l="1"/>
  <c r="F59" i="1" s="1"/>
  <c r="F60" i="1"/>
  <c r="E4" i="1"/>
  <c r="F4" i="1" s="1"/>
  <c r="C59" i="1"/>
  <c r="D59" i="1" s="1"/>
  <c r="C27" i="1"/>
  <c r="D27" i="1" s="1"/>
  <c r="D28" i="1"/>
  <c r="D60" i="1"/>
  <c r="E2" i="1" l="1"/>
  <c r="F2" i="1" s="1"/>
  <c r="C4" i="1"/>
  <c r="C2" i="1" s="1"/>
  <c r="D5" i="1"/>
  <c r="D4" i="1" l="1"/>
  <c r="D2" i="1"/>
</calcChain>
</file>

<file path=xl/sharedStrings.xml><?xml version="1.0" encoding="utf-8"?>
<sst xmlns="http://schemas.openxmlformats.org/spreadsheetml/2006/main" count="420" uniqueCount="223">
  <si>
    <t>Summary</t>
  </si>
  <si>
    <t>Start Date</t>
  </si>
  <si>
    <t>End Date</t>
  </si>
  <si>
    <t>TTT</t>
  </si>
  <si>
    <t>Semester 4 - Tic-Tac-Toe</t>
  </si>
  <si>
    <t>2020-04-01</t>
  </si>
  <si>
    <t>2020-08-28</t>
  </si>
  <si>
    <t>TTT-149</t>
  </si>
  <si>
    <t>M01: Impuls</t>
  </si>
  <si>
    <t>0d</t>
  </si>
  <si>
    <t>2020-03-31</t>
  </si>
  <si>
    <t>TTT-5</t>
  </si>
  <si>
    <t>P1: Initialisierung</t>
  </si>
  <si>
    <t>2020-05-13</t>
  </si>
  <si>
    <t>TTT-45</t>
  </si>
  <si>
    <t>L1: Projektanalyse</t>
  </si>
  <si>
    <t>2020-04-10</t>
  </si>
  <si>
    <t>TTT-13</t>
  </si>
  <si>
    <t>AP1.1: Situationsanalyse</t>
  </si>
  <si>
    <t>45m</t>
  </si>
  <si>
    <t>TTT-14</t>
  </si>
  <si>
    <t>AP1.2: Anforderungskatalog</t>
  </si>
  <si>
    <t>3h</t>
  </si>
  <si>
    <t>2020-04-02</t>
  </si>
  <si>
    <t>TTT-15</t>
  </si>
  <si>
    <t>AP1.3: Ziele definieren</t>
  </si>
  <si>
    <t>1h 30m</t>
  </si>
  <si>
    <t>TTT-16</t>
  </si>
  <si>
    <t>AP1.4: Risikoanalyse</t>
  </si>
  <si>
    <t>30m</t>
  </si>
  <si>
    <t>TTT-142</t>
  </si>
  <si>
    <t>Risikoanalyse mit Text erweitern</t>
  </si>
  <si>
    <t>2020-04-08</t>
  </si>
  <si>
    <t>TTT-46</t>
  </si>
  <si>
    <t>L2: Projektplanung</t>
  </si>
  <si>
    <t>2020-04-13</t>
  </si>
  <si>
    <t>2020-04-29</t>
  </si>
  <si>
    <t>TTT-140</t>
  </si>
  <si>
    <t>AP2.1: Funktionendiagramm</t>
  </si>
  <si>
    <t>TTT-22</t>
  </si>
  <si>
    <t>AP2.3: Kommunikationsplan</t>
  </si>
  <si>
    <t>2020-04-14</t>
  </si>
  <si>
    <t>2020-04-16</t>
  </si>
  <si>
    <t>TTT-139</t>
  </si>
  <si>
    <t>AP2.2: Rollenbeschreibung</t>
  </si>
  <si>
    <t>1h</t>
  </si>
  <si>
    <t>TTT-21</t>
  </si>
  <si>
    <t>AP2.4: Projektorganisation</t>
  </si>
  <si>
    <t>2020-04-17</t>
  </si>
  <si>
    <t>TTT-11</t>
  </si>
  <si>
    <t>AP2.5: Projektrollen definieren</t>
  </si>
  <si>
    <t>TTT-146</t>
  </si>
  <si>
    <t>Administrative Vorbereitung</t>
  </si>
  <si>
    <t>TTT-126</t>
  </si>
  <si>
    <t>Arbeiten mit GitLab</t>
  </si>
  <si>
    <t>2020-04-20</t>
  </si>
  <si>
    <t>TTT-127</t>
  </si>
  <si>
    <t>Jira Board Layout finalisieren</t>
  </si>
  <si>
    <t>2020-04-22</t>
  </si>
  <si>
    <t>TTT-12</t>
  </si>
  <si>
    <t>Lösung für File-Ablage</t>
  </si>
  <si>
    <t>6h</t>
  </si>
  <si>
    <t>TTT-2</t>
  </si>
  <si>
    <t xml:space="preserve">Jira Cloud Board für die Semesterarbeit einrichten </t>
  </si>
  <si>
    <t>TTT-3</t>
  </si>
  <si>
    <t>Draft Protokolle in passendes &amp; einheitliches Format bringen</t>
  </si>
  <si>
    <t>TTT-4</t>
  </si>
  <si>
    <t>Projektdokumentation für das TTT-Projekt ist erstellt</t>
  </si>
  <si>
    <t>TTT-23</t>
  </si>
  <si>
    <t>Abschliessen der Dokumentation für die Initialisierungsphase</t>
  </si>
  <si>
    <t>2020-05-11</t>
  </si>
  <si>
    <t>TTT-24</t>
  </si>
  <si>
    <t>Projektmanagement</t>
  </si>
  <si>
    <t>TTT-143</t>
  </si>
  <si>
    <t>M02: Kick Off Meeting</t>
  </si>
  <si>
    <t>TTT-6</t>
  </si>
  <si>
    <t>P2: Konzept</t>
  </si>
  <si>
    <t>2020-05-14</t>
  </si>
  <si>
    <t>2020-06-26</t>
  </si>
  <si>
    <t>TTT-141</t>
  </si>
  <si>
    <t>2020-05-29</t>
  </si>
  <si>
    <t>TTT-17</t>
  </si>
  <si>
    <t>AP2.6: Projektstrukturplan</t>
  </si>
  <si>
    <t>2020-05-20</t>
  </si>
  <si>
    <t>TTT-18</t>
  </si>
  <si>
    <t>AP2.7: Projektzeitplan</t>
  </si>
  <si>
    <t>TTT-20</t>
  </si>
  <si>
    <t>AP2.8: Kostenplanung</t>
  </si>
  <si>
    <t>2020-05-21</t>
  </si>
  <si>
    <t>2020-05-27</t>
  </si>
  <si>
    <t>TTT-19</t>
  </si>
  <si>
    <t>AP2.9: Ressourcenplanung</t>
  </si>
  <si>
    <t>TTT-48</t>
  </si>
  <si>
    <t>L3: Lösungsevaluation</t>
  </si>
  <si>
    <t>2020-05-30</t>
  </si>
  <si>
    <t>2020-06-10</t>
  </si>
  <si>
    <t>TTT-36</t>
  </si>
  <si>
    <t>AP3.1: Lösungsuche</t>
  </si>
  <si>
    <t>2020-06-01</t>
  </si>
  <si>
    <t>2020-06-05</t>
  </si>
  <si>
    <t>TTT-37</t>
  </si>
  <si>
    <t>AP3.2: Lösungsevaluation</t>
  </si>
  <si>
    <t>2020-06-08</t>
  </si>
  <si>
    <t>TTT-38</t>
  </si>
  <si>
    <t>AP3.3: Lösungsentscheid</t>
  </si>
  <si>
    <t>2020-06-11</t>
  </si>
  <si>
    <t>2020-06-12</t>
  </si>
  <si>
    <t>TTT-42</t>
  </si>
  <si>
    <t>Abschliessen der Dokumentation für die Konzeptphase</t>
  </si>
  <si>
    <t>2020-06-24</t>
  </si>
  <si>
    <t>TTT-25</t>
  </si>
  <si>
    <t>L4: Pflichtenheft</t>
  </si>
  <si>
    <t>2020-06-16</t>
  </si>
  <si>
    <t>TTT-40</t>
  </si>
  <si>
    <t>AP4.1: Chancen &amp; Risiken analysieren</t>
  </si>
  <si>
    <t>2020-06-15</t>
  </si>
  <si>
    <t>TTT-41</t>
  </si>
  <si>
    <t>AP4.2: Massnahmen definieren</t>
  </si>
  <si>
    <t>TTT-39</t>
  </si>
  <si>
    <t>AP4.3: Technische Umsetzung planen</t>
  </si>
  <si>
    <t>TTT-43</t>
  </si>
  <si>
    <t>AP4.4: Vorbereitung Abnahme Pflichtenheft</t>
  </si>
  <si>
    <t>TTT-153</t>
  </si>
  <si>
    <t>AP4.5: Pflichtenheft Dokument erstellen</t>
  </si>
  <si>
    <t>TTT-154</t>
  </si>
  <si>
    <t>AP4.6: Mockups für das Pflichtenheft erstellt</t>
  </si>
  <si>
    <t>TTT-47</t>
  </si>
  <si>
    <t>Inbetriebnahme &amp; Vorbereitungen für die Entwicklung</t>
  </si>
  <si>
    <t>TTT-32</t>
  </si>
  <si>
    <t>Festlegen der Git Regeln</t>
  </si>
  <si>
    <t>2020-06-02</t>
  </si>
  <si>
    <t>TTT-30</t>
  </si>
  <si>
    <t>Git Projekt für Backend ist erstellt</t>
  </si>
  <si>
    <t>2020-06-03</t>
  </si>
  <si>
    <t>TTT-31</t>
  </si>
  <si>
    <t>Git Projekt für Datenbank ist erstellt</t>
  </si>
  <si>
    <t>TTT-29</t>
  </si>
  <si>
    <t>Git Projekt für Frontend ist erstellt</t>
  </si>
  <si>
    <t>TTT-34</t>
  </si>
  <si>
    <t xml:space="preserve">Festlegen der Frontend Coding Guidelines </t>
  </si>
  <si>
    <t>2020-06-04</t>
  </si>
  <si>
    <t>TTT-33</t>
  </si>
  <si>
    <t xml:space="preserve">Festlegen der Backend Coding Guidelines </t>
  </si>
  <si>
    <t>TTT-26</t>
  </si>
  <si>
    <t xml:space="preserve">Backend Entwicklungsumgebung installiert </t>
  </si>
  <si>
    <t>2020-06-22</t>
  </si>
  <si>
    <t>TTT-28</t>
  </si>
  <si>
    <t xml:space="preserve">Datenbank Tools installiert </t>
  </si>
  <si>
    <t>TTT-27</t>
  </si>
  <si>
    <t xml:space="preserve">Frontend Entwicklungsumgebung installiert </t>
  </si>
  <si>
    <t>TTT-35</t>
  </si>
  <si>
    <t>Raspberry Pi mithilfe der api-led-rgb-matrix testen</t>
  </si>
  <si>
    <t>TTT-10</t>
  </si>
  <si>
    <t>Setup api-tic-tac-toe Projekt</t>
  </si>
  <si>
    <t>2020-06-23</t>
  </si>
  <si>
    <t>TTT-151</t>
  </si>
  <si>
    <t>TTT-147</t>
  </si>
  <si>
    <t>MS03: Abgabe Pflichtenheft</t>
  </si>
  <si>
    <t>TTT-7</t>
  </si>
  <si>
    <t>P3: Realisierung</t>
  </si>
  <si>
    <t>2020-06-29</t>
  </si>
  <si>
    <t>TTT-156</t>
  </si>
  <si>
    <t>L5: Kommunikationsschnittstellen definieren (Backend)</t>
  </si>
  <si>
    <t>2020-07-20</t>
  </si>
  <si>
    <t>TTT-167</t>
  </si>
  <si>
    <t>AP5.1: Datenstrukturen definieren</t>
  </si>
  <si>
    <t>2020-07-02</t>
  </si>
  <si>
    <t>TTT-160</t>
  </si>
  <si>
    <t>AP5.2: Datenbankanbindung</t>
  </si>
  <si>
    <t>2020-07-03</t>
  </si>
  <si>
    <t>2020-07-07</t>
  </si>
  <si>
    <t>TTT-159</t>
  </si>
  <si>
    <t>AP5.3: Kommunikation mit LED-RGB-Matrix</t>
  </si>
  <si>
    <t>2020-07-08</t>
  </si>
  <si>
    <t>2020-07-13</t>
  </si>
  <si>
    <t>TTT-161</t>
  </si>
  <si>
    <t>AP5.4: MQTT  (Client) Kommunikation</t>
  </si>
  <si>
    <t>2020-07-14</t>
  </si>
  <si>
    <t>TTT-155</t>
  </si>
  <si>
    <t>L6: Spielelogik definieren (Backend)</t>
  </si>
  <si>
    <t>TTT-162</t>
  </si>
  <si>
    <t>AP6.1: Datenbank Schema</t>
  </si>
  <si>
    <t>2020-07-01</t>
  </si>
  <si>
    <t>TTT-163</t>
  </si>
  <si>
    <t>AP6.2: Businesslogik (Spielelogik)</t>
  </si>
  <si>
    <t>TTT-157</t>
  </si>
  <si>
    <t>L7: Design &amp; Logik definieren (Frontend)</t>
  </si>
  <si>
    <t>2020-07-22</t>
  </si>
  <si>
    <t>TTT-164</t>
  </si>
  <si>
    <t>AP7.1: Frontend Design nach Mockups erstellen</t>
  </si>
  <si>
    <t>2020-07-10</t>
  </si>
  <si>
    <t>TTT-165</t>
  </si>
  <si>
    <t>AP7.2: Spielelogik in Frontend einbinden</t>
  </si>
  <si>
    <t>2020-07-15</t>
  </si>
  <si>
    <t>TTT-158</t>
  </si>
  <si>
    <t>L8: Kommunikationsschnittstellen definieren (Frontend)</t>
  </si>
  <si>
    <t>2020-07-21</t>
  </si>
  <si>
    <t>2020-07-31</t>
  </si>
  <si>
    <t>TTT-166</t>
  </si>
  <si>
    <t>AP8.1: Kommunikation mit Backend (MQTT)</t>
  </si>
  <si>
    <t>TTT-171</t>
  </si>
  <si>
    <t>L9: Projektdokumentation</t>
  </si>
  <si>
    <t>TTT-172</t>
  </si>
  <si>
    <t>AP9.1: Klassendiagramm</t>
  </si>
  <si>
    <t>2020-07-24</t>
  </si>
  <si>
    <t>TTT-173</t>
  </si>
  <si>
    <t>AP9.2: Lösungsdokumentation</t>
  </si>
  <si>
    <t>TTT-168</t>
  </si>
  <si>
    <t>Testing</t>
  </si>
  <si>
    <t>TTT-169</t>
  </si>
  <si>
    <t>Functionale Tests</t>
  </si>
  <si>
    <t>TTT-174</t>
  </si>
  <si>
    <t>Unit Tests</t>
  </si>
  <si>
    <t>TTT-148</t>
  </si>
  <si>
    <t xml:space="preserve">Abgabe </t>
  </si>
  <si>
    <t>TTT-8</t>
  </si>
  <si>
    <t>P4: Einführung</t>
  </si>
  <si>
    <t>Geplante[h]</t>
  </si>
  <si>
    <t>Aktuell [h]</t>
  </si>
  <si>
    <t>Aktuell [CHF]</t>
  </si>
  <si>
    <t>Geplant [CHF]</t>
  </si>
  <si>
    <t>Übergeordnete Aufgabe</t>
  </si>
  <si>
    <t>Jira-Id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</si>
</sst>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CHF-100C]_-;\-* #,##0.00\ [$CHF-100C]_-;_-* &quot;-&quot;??\ [$CHF-100C]_-;_-@_-"/>
  </numFmts>
  <fonts count="3" x14ac:knownFonts="1">
    <font>
      <sz val="10"/>
      <color theme="1"/>
      <name val="Arial"/>
      <family val="2"/>
    </font>
    <font>
      <sz val="10"/>
      <name val="Arial"/>
      <family val="2"/>
    </font>
    <font>
      <b/>
      <sz val="10"/>
      <color rgb="FFF5F5F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05081"/>
        <bgColor indexed="6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left"/>
    </xf>
    <xf numFmtId="0" fontId="1" fillId="0" borderId="0" xfId="0" applyNumberFormat="1" applyFont="1" applyFill="1" applyBorder="1" applyAlignment="1" applyProtection="1">
      <alignment horizontal="left" wrapText="1"/>
    </xf>
    <xf numFmtId="20" fontId="1" fillId="0" borderId="0" xfId="0" applyNumberFormat="1" applyFont="1" applyFill="1" applyBorder="1" applyAlignment="1" applyProtection="1">
      <alignment horizontal="left"/>
    </xf>
    <xf numFmtId="46" fontId="1" fillId="0" borderId="0" xfId="0" applyNumberFormat="1" applyFont="1" applyFill="1" applyBorder="1" applyAlignment="1" applyProtection="1">
      <alignment horizontal="left"/>
    </xf>
    <xf numFmtId="164" fontId="1" fillId="0" borderId="0" xfId="0" applyNumberFormat="1" applyFont="1" applyFill="1" applyBorder="1" applyAlignment="1" applyProtection="1">
      <alignment horizontal="left"/>
    </xf>
    <xf numFmtId="0" fontId="2" fillId="2" borderId="1" xfId="0" applyNumberFormat="1" applyFont="1" applyFill="1" applyBorder="1" applyAlignment="1" applyProtection="1">
      <alignment horizont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visual-board.atlassian.net/browse/TTT-6" TargetMode="External"/><Relationship Id="rId21" Type="http://schemas.openxmlformats.org/officeDocument/2006/relationships/hyperlink" Target="https://visual-board.atlassian.net/browse/TTT-3" TargetMode="External"/><Relationship Id="rId42" Type="http://schemas.openxmlformats.org/officeDocument/2006/relationships/hyperlink" Target="https://visual-board.atlassian.net/browse/TTT-153" TargetMode="External"/><Relationship Id="rId47" Type="http://schemas.openxmlformats.org/officeDocument/2006/relationships/hyperlink" Target="https://visual-board.atlassian.net/browse/TTT-31" TargetMode="External"/><Relationship Id="rId63" Type="http://schemas.openxmlformats.org/officeDocument/2006/relationships/hyperlink" Target="https://visual-board.atlassian.net/browse/TTT-161" TargetMode="External"/><Relationship Id="rId68" Type="http://schemas.openxmlformats.org/officeDocument/2006/relationships/hyperlink" Target="https://visual-board.atlassian.net/browse/TTT-164" TargetMode="External"/><Relationship Id="rId16" Type="http://schemas.openxmlformats.org/officeDocument/2006/relationships/hyperlink" Target="https://visual-board.atlassian.net/browse/TTT-146" TargetMode="External"/><Relationship Id="rId11" Type="http://schemas.openxmlformats.org/officeDocument/2006/relationships/hyperlink" Target="https://visual-board.atlassian.net/browse/TTT-140" TargetMode="External"/><Relationship Id="rId24" Type="http://schemas.openxmlformats.org/officeDocument/2006/relationships/hyperlink" Target="https://visual-board.atlassian.net/browse/TTT-24" TargetMode="External"/><Relationship Id="rId32" Type="http://schemas.openxmlformats.org/officeDocument/2006/relationships/hyperlink" Target="https://visual-board.atlassian.net/browse/TTT-48" TargetMode="External"/><Relationship Id="rId37" Type="http://schemas.openxmlformats.org/officeDocument/2006/relationships/hyperlink" Target="https://visual-board.atlassian.net/browse/TTT-25" TargetMode="External"/><Relationship Id="rId40" Type="http://schemas.openxmlformats.org/officeDocument/2006/relationships/hyperlink" Target="https://visual-board.atlassian.net/browse/TTT-39" TargetMode="External"/><Relationship Id="rId45" Type="http://schemas.openxmlformats.org/officeDocument/2006/relationships/hyperlink" Target="https://visual-board.atlassian.net/browse/TTT-32" TargetMode="External"/><Relationship Id="rId53" Type="http://schemas.openxmlformats.org/officeDocument/2006/relationships/hyperlink" Target="https://visual-board.atlassian.net/browse/TTT-27" TargetMode="External"/><Relationship Id="rId58" Type="http://schemas.openxmlformats.org/officeDocument/2006/relationships/hyperlink" Target="https://visual-board.atlassian.net/browse/TTT-7" TargetMode="External"/><Relationship Id="rId66" Type="http://schemas.openxmlformats.org/officeDocument/2006/relationships/hyperlink" Target="https://visual-board.atlassian.net/browse/TTT-163" TargetMode="External"/><Relationship Id="rId74" Type="http://schemas.openxmlformats.org/officeDocument/2006/relationships/hyperlink" Target="https://visual-board.atlassian.net/browse/TTT-173" TargetMode="External"/><Relationship Id="rId79" Type="http://schemas.openxmlformats.org/officeDocument/2006/relationships/hyperlink" Target="https://visual-board.atlassian.net/browse/TTT-8" TargetMode="External"/><Relationship Id="rId5" Type="http://schemas.openxmlformats.org/officeDocument/2006/relationships/hyperlink" Target="https://visual-board.atlassian.net/browse/TTT-13" TargetMode="External"/><Relationship Id="rId61" Type="http://schemas.openxmlformats.org/officeDocument/2006/relationships/hyperlink" Target="https://visual-board.atlassian.net/browse/TTT-160" TargetMode="External"/><Relationship Id="rId19" Type="http://schemas.openxmlformats.org/officeDocument/2006/relationships/hyperlink" Target="https://visual-board.atlassian.net/browse/TTT-12" TargetMode="External"/><Relationship Id="rId14" Type="http://schemas.openxmlformats.org/officeDocument/2006/relationships/hyperlink" Target="https://visual-board.atlassian.net/browse/TTT-21" TargetMode="External"/><Relationship Id="rId22" Type="http://schemas.openxmlformats.org/officeDocument/2006/relationships/hyperlink" Target="https://visual-board.atlassian.net/browse/TTT-4" TargetMode="External"/><Relationship Id="rId27" Type="http://schemas.openxmlformats.org/officeDocument/2006/relationships/hyperlink" Target="https://visual-board.atlassian.net/browse/TTT-141" TargetMode="External"/><Relationship Id="rId30" Type="http://schemas.openxmlformats.org/officeDocument/2006/relationships/hyperlink" Target="https://visual-board.atlassian.net/browse/TTT-20" TargetMode="External"/><Relationship Id="rId35" Type="http://schemas.openxmlformats.org/officeDocument/2006/relationships/hyperlink" Target="https://visual-board.atlassian.net/browse/TTT-38" TargetMode="External"/><Relationship Id="rId43" Type="http://schemas.openxmlformats.org/officeDocument/2006/relationships/hyperlink" Target="https://visual-board.atlassian.net/browse/TTT-154" TargetMode="External"/><Relationship Id="rId48" Type="http://schemas.openxmlformats.org/officeDocument/2006/relationships/hyperlink" Target="https://visual-board.atlassian.net/browse/TTT-29" TargetMode="External"/><Relationship Id="rId56" Type="http://schemas.openxmlformats.org/officeDocument/2006/relationships/hyperlink" Target="https://visual-board.atlassian.net/browse/TTT-151" TargetMode="External"/><Relationship Id="rId64" Type="http://schemas.openxmlformats.org/officeDocument/2006/relationships/hyperlink" Target="https://visual-board.atlassian.net/browse/TTT-155" TargetMode="External"/><Relationship Id="rId69" Type="http://schemas.openxmlformats.org/officeDocument/2006/relationships/hyperlink" Target="https://visual-board.atlassian.net/browse/TTT-165" TargetMode="External"/><Relationship Id="rId77" Type="http://schemas.openxmlformats.org/officeDocument/2006/relationships/hyperlink" Target="https://visual-board.atlassian.net/browse/TTT-174" TargetMode="External"/><Relationship Id="rId8" Type="http://schemas.openxmlformats.org/officeDocument/2006/relationships/hyperlink" Target="https://visual-board.atlassian.net/browse/TTT-16" TargetMode="External"/><Relationship Id="rId51" Type="http://schemas.openxmlformats.org/officeDocument/2006/relationships/hyperlink" Target="https://visual-board.atlassian.net/browse/TTT-26" TargetMode="External"/><Relationship Id="rId72" Type="http://schemas.openxmlformats.org/officeDocument/2006/relationships/hyperlink" Target="https://visual-board.atlassian.net/browse/TTT-171" TargetMode="External"/><Relationship Id="rId80" Type="http://schemas.openxmlformats.org/officeDocument/2006/relationships/printerSettings" Target="../printerSettings/printerSettings1.bin"/><Relationship Id="rId3" Type="http://schemas.openxmlformats.org/officeDocument/2006/relationships/hyperlink" Target="https://visual-board.atlassian.net/browse/TTT-5" TargetMode="External"/><Relationship Id="rId12" Type="http://schemas.openxmlformats.org/officeDocument/2006/relationships/hyperlink" Target="https://visual-board.atlassian.net/browse/TTT-22" TargetMode="External"/><Relationship Id="rId17" Type="http://schemas.openxmlformats.org/officeDocument/2006/relationships/hyperlink" Target="https://visual-board.atlassian.net/browse/TTT-126" TargetMode="External"/><Relationship Id="rId25" Type="http://schemas.openxmlformats.org/officeDocument/2006/relationships/hyperlink" Target="https://visual-board.atlassian.net/browse/TTT-143" TargetMode="External"/><Relationship Id="rId33" Type="http://schemas.openxmlformats.org/officeDocument/2006/relationships/hyperlink" Target="https://visual-board.atlassian.net/browse/TTT-36" TargetMode="External"/><Relationship Id="rId38" Type="http://schemas.openxmlformats.org/officeDocument/2006/relationships/hyperlink" Target="https://visual-board.atlassian.net/browse/TTT-40" TargetMode="External"/><Relationship Id="rId46" Type="http://schemas.openxmlformats.org/officeDocument/2006/relationships/hyperlink" Target="https://visual-board.atlassian.net/browse/TTT-30" TargetMode="External"/><Relationship Id="rId59" Type="http://schemas.openxmlformats.org/officeDocument/2006/relationships/hyperlink" Target="https://visual-board.atlassian.net/browse/TTT-156" TargetMode="External"/><Relationship Id="rId67" Type="http://schemas.openxmlformats.org/officeDocument/2006/relationships/hyperlink" Target="https://visual-board.atlassian.net/browse/TTT-157" TargetMode="External"/><Relationship Id="rId20" Type="http://schemas.openxmlformats.org/officeDocument/2006/relationships/hyperlink" Target="https://visual-board.atlassian.net/browse/TTT-2" TargetMode="External"/><Relationship Id="rId41" Type="http://schemas.openxmlformats.org/officeDocument/2006/relationships/hyperlink" Target="https://visual-board.atlassian.net/browse/TTT-43" TargetMode="External"/><Relationship Id="rId54" Type="http://schemas.openxmlformats.org/officeDocument/2006/relationships/hyperlink" Target="https://visual-board.atlassian.net/browse/TTT-35" TargetMode="External"/><Relationship Id="rId62" Type="http://schemas.openxmlformats.org/officeDocument/2006/relationships/hyperlink" Target="https://visual-board.atlassian.net/browse/TTT-159" TargetMode="External"/><Relationship Id="rId70" Type="http://schemas.openxmlformats.org/officeDocument/2006/relationships/hyperlink" Target="https://visual-board.atlassian.net/browse/TTT-158" TargetMode="External"/><Relationship Id="rId75" Type="http://schemas.openxmlformats.org/officeDocument/2006/relationships/hyperlink" Target="https://visual-board.atlassian.net/browse/TTT-168" TargetMode="External"/><Relationship Id="rId1" Type="http://schemas.openxmlformats.org/officeDocument/2006/relationships/hyperlink" Target="https://visual-board.atlassian.net/projects/TTT" TargetMode="External"/><Relationship Id="rId6" Type="http://schemas.openxmlformats.org/officeDocument/2006/relationships/hyperlink" Target="https://visual-board.atlassian.net/browse/TTT-14" TargetMode="External"/><Relationship Id="rId15" Type="http://schemas.openxmlformats.org/officeDocument/2006/relationships/hyperlink" Target="https://visual-board.atlassian.net/browse/TTT-11" TargetMode="External"/><Relationship Id="rId23" Type="http://schemas.openxmlformats.org/officeDocument/2006/relationships/hyperlink" Target="https://visual-board.atlassian.net/browse/TTT-23" TargetMode="External"/><Relationship Id="rId28" Type="http://schemas.openxmlformats.org/officeDocument/2006/relationships/hyperlink" Target="https://visual-board.atlassian.net/browse/TTT-17" TargetMode="External"/><Relationship Id="rId36" Type="http://schemas.openxmlformats.org/officeDocument/2006/relationships/hyperlink" Target="https://visual-board.atlassian.net/browse/TTT-42" TargetMode="External"/><Relationship Id="rId49" Type="http://schemas.openxmlformats.org/officeDocument/2006/relationships/hyperlink" Target="https://visual-board.atlassian.net/browse/TTT-34" TargetMode="External"/><Relationship Id="rId57" Type="http://schemas.openxmlformats.org/officeDocument/2006/relationships/hyperlink" Target="https://visual-board.atlassian.net/browse/TTT-147" TargetMode="External"/><Relationship Id="rId10" Type="http://schemas.openxmlformats.org/officeDocument/2006/relationships/hyperlink" Target="https://visual-board.atlassian.net/browse/TTT-46" TargetMode="External"/><Relationship Id="rId31" Type="http://schemas.openxmlformats.org/officeDocument/2006/relationships/hyperlink" Target="https://visual-board.atlassian.net/browse/TTT-19" TargetMode="External"/><Relationship Id="rId44" Type="http://schemas.openxmlformats.org/officeDocument/2006/relationships/hyperlink" Target="https://visual-board.atlassian.net/browse/TTT-47" TargetMode="External"/><Relationship Id="rId52" Type="http://schemas.openxmlformats.org/officeDocument/2006/relationships/hyperlink" Target="https://visual-board.atlassian.net/browse/TTT-28" TargetMode="External"/><Relationship Id="rId60" Type="http://schemas.openxmlformats.org/officeDocument/2006/relationships/hyperlink" Target="https://visual-board.atlassian.net/browse/TTT-167" TargetMode="External"/><Relationship Id="rId65" Type="http://schemas.openxmlformats.org/officeDocument/2006/relationships/hyperlink" Target="https://visual-board.atlassian.net/browse/TTT-162" TargetMode="External"/><Relationship Id="rId73" Type="http://schemas.openxmlformats.org/officeDocument/2006/relationships/hyperlink" Target="https://visual-board.atlassian.net/browse/TTT-172" TargetMode="External"/><Relationship Id="rId78" Type="http://schemas.openxmlformats.org/officeDocument/2006/relationships/hyperlink" Target="https://visual-board.atlassian.net/browse/TTT-148" TargetMode="External"/><Relationship Id="rId4" Type="http://schemas.openxmlformats.org/officeDocument/2006/relationships/hyperlink" Target="https://visual-board.atlassian.net/browse/TTT-45" TargetMode="External"/><Relationship Id="rId9" Type="http://schemas.openxmlformats.org/officeDocument/2006/relationships/hyperlink" Target="https://visual-board.atlassian.net/browse/TTT-142" TargetMode="External"/><Relationship Id="rId13" Type="http://schemas.openxmlformats.org/officeDocument/2006/relationships/hyperlink" Target="https://visual-board.atlassian.net/browse/TTT-139" TargetMode="External"/><Relationship Id="rId18" Type="http://schemas.openxmlformats.org/officeDocument/2006/relationships/hyperlink" Target="https://visual-board.atlassian.net/browse/TTT-127" TargetMode="External"/><Relationship Id="rId39" Type="http://schemas.openxmlformats.org/officeDocument/2006/relationships/hyperlink" Target="https://visual-board.atlassian.net/browse/TTT-41" TargetMode="External"/><Relationship Id="rId34" Type="http://schemas.openxmlformats.org/officeDocument/2006/relationships/hyperlink" Target="https://visual-board.atlassian.net/browse/TTT-37" TargetMode="External"/><Relationship Id="rId50" Type="http://schemas.openxmlformats.org/officeDocument/2006/relationships/hyperlink" Target="https://visual-board.atlassian.net/browse/TTT-33" TargetMode="External"/><Relationship Id="rId55" Type="http://schemas.openxmlformats.org/officeDocument/2006/relationships/hyperlink" Target="https://visual-board.atlassian.net/browse/TTT-10" TargetMode="External"/><Relationship Id="rId76" Type="http://schemas.openxmlformats.org/officeDocument/2006/relationships/hyperlink" Target="https://visual-board.atlassian.net/browse/TTT-169" TargetMode="External"/><Relationship Id="rId7" Type="http://schemas.openxmlformats.org/officeDocument/2006/relationships/hyperlink" Target="https://visual-board.atlassian.net/browse/TTT-15" TargetMode="External"/><Relationship Id="rId71" Type="http://schemas.openxmlformats.org/officeDocument/2006/relationships/hyperlink" Target="https://visual-board.atlassian.net/browse/TTT-166" TargetMode="External"/><Relationship Id="rId2" Type="http://schemas.openxmlformats.org/officeDocument/2006/relationships/hyperlink" Target="https://visual-board.atlassian.net/browse/TTT-149" TargetMode="External"/><Relationship Id="rId29" Type="http://schemas.openxmlformats.org/officeDocument/2006/relationships/hyperlink" Target="https://visual-board.atlassian.net/browse/TTT-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80"/>
  <sheetViews>
    <sheetView tabSelected="1" view="pageLayout" zoomScaleNormal="100" workbookViewId="0">
      <selection activeCell="B1" sqref="B1"/>
    </sheetView>
  </sheetViews>
  <sheetFormatPr baseColWidth="10" defaultColWidth="9.109375" defaultRowHeight="13.2" outlineLevelRow="3" x14ac:dyDescent="0.25"/>
  <cols>
    <col min="2" max="2" width="22.109375" customWidth="1"/>
    <col min="3" max="3" width="12.5546875" bestFit="1" customWidth="1"/>
    <col min="4" max="4" width="16.5546875" customWidth="1"/>
    <col min="5" max="5" width="11.44140625" customWidth="1"/>
    <col min="6" max="6" width="15.88671875" customWidth="1"/>
    <col min="7" max="7" width="10.109375" bestFit="1" customWidth="1"/>
    <col min="8" max="9" width="13.109375" customWidth="1"/>
  </cols>
  <sheetData>
    <row r="1" spans="1:9" ht="26.4" x14ac:dyDescent="0.25">
      <c r="A1" s="1" t="s">
        <v>222</v>
      </c>
      <c r="B1" s="1" t="s">
        <v>0</v>
      </c>
      <c r="C1" s="1" t="s">
        <v>217</v>
      </c>
      <c r="D1" s="1" t="s">
        <v>220</v>
      </c>
      <c r="E1" s="1" t="s">
        <v>218</v>
      </c>
      <c r="F1" s="1" t="s">
        <v>219</v>
      </c>
      <c r="G1" s="1" t="s">
        <v>1</v>
      </c>
      <c r="H1" s="1" t="s">
        <v>2</v>
      </c>
      <c r="I1" s="7" t="s">
        <v>221</v>
      </c>
    </row>
    <row r="2" spans="1:9" x14ac:dyDescent="0.25">
      <c r="A2" s="2" t="s">
        <v>3</v>
      </c>
      <c r="B2" s="3" t="s">
        <v>4</v>
      </c>
      <c r="C2" s="5">
        <f>SUMIF($I$3:$I$80,"TTT",C3:$C$80)</f>
        <v>11.489583333333334</v>
      </c>
      <c r="D2" s="6">
        <f t="shared" ref="D2:D3" si="0">C2*24*100</f>
        <v>27575</v>
      </c>
      <c r="E2" s="5">
        <f>SUMIF($I$3:$I$80,"TTT",E3:$E$80)</f>
        <v>3.260416666666667</v>
      </c>
      <c r="F2" s="6">
        <f>E2*24*100</f>
        <v>7825</v>
      </c>
      <c r="G2" s="2" t="s">
        <v>5</v>
      </c>
      <c r="H2" s="2" t="s">
        <v>6</v>
      </c>
      <c r="I2" s="2"/>
    </row>
    <row r="3" spans="1:9" x14ac:dyDescent="0.25">
      <c r="A3" s="2" t="s">
        <v>7</v>
      </c>
      <c r="B3" s="3" t="s">
        <v>8</v>
      </c>
      <c r="C3" s="4">
        <v>0</v>
      </c>
      <c r="D3" s="6">
        <f t="shared" si="0"/>
        <v>0</v>
      </c>
      <c r="E3" s="4">
        <v>0</v>
      </c>
      <c r="F3" s="6">
        <f t="shared" ref="F3:F66" si="1">E3*24*100</f>
        <v>0</v>
      </c>
      <c r="G3" s="2" t="s">
        <v>10</v>
      </c>
      <c r="H3" s="2" t="s">
        <v>10</v>
      </c>
      <c r="I3" s="2" t="s">
        <v>3</v>
      </c>
    </row>
    <row r="4" spans="1:9" x14ac:dyDescent="0.25">
      <c r="A4" s="2" t="s">
        <v>11</v>
      </c>
      <c r="B4" s="3" t="s">
        <v>12</v>
      </c>
      <c r="C4" s="5">
        <f>SUMIF(I5:I80,"TTT-5",C5:$C$80)</f>
        <v>1.5625</v>
      </c>
      <c r="D4" s="6">
        <f>C4*24*100</f>
        <v>3750</v>
      </c>
      <c r="E4" s="5">
        <f>SUMIF(I5:I80,"TTT-5",E5:$E$80)</f>
        <v>1.71875</v>
      </c>
      <c r="F4" s="6">
        <f t="shared" si="1"/>
        <v>4125</v>
      </c>
      <c r="G4" s="2" t="s">
        <v>5</v>
      </c>
      <c r="H4" s="2" t="s">
        <v>13</v>
      </c>
      <c r="I4" s="2" t="s">
        <v>3</v>
      </c>
    </row>
    <row r="5" spans="1:9" outlineLevel="1" x14ac:dyDescent="0.25">
      <c r="A5" s="2" t="s">
        <v>14</v>
      </c>
      <c r="B5" s="3" t="s">
        <v>15</v>
      </c>
      <c r="C5" s="4">
        <f>SUMIF($I$6:$I$8,"TTT-45",C6:$C$80)</f>
        <v>0.21875</v>
      </c>
      <c r="D5" s="6">
        <f t="shared" ref="D5:D68" si="2">C5*24*100</f>
        <v>525</v>
      </c>
      <c r="E5" s="4">
        <f>SUMIF($I$6:$I$8,"TTT-45",E6:$E$80)</f>
        <v>0.26041666666666669</v>
      </c>
      <c r="F5" s="6">
        <f t="shared" si="1"/>
        <v>625</v>
      </c>
      <c r="G5" s="2" t="s">
        <v>5</v>
      </c>
      <c r="H5" s="2" t="s">
        <v>16</v>
      </c>
      <c r="I5" s="2" t="s">
        <v>11</v>
      </c>
    </row>
    <row r="6" spans="1:9" outlineLevel="2" x14ac:dyDescent="0.25">
      <c r="A6" s="2" t="s">
        <v>17</v>
      </c>
      <c r="B6" s="3" t="s">
        <v>18</v>
      </c>
      <c r="C6" s="4">
        <v>3.125E-2</v>
      </c>
      <c r="D6" s="6">
        <f t="shared" si="2"/>
        <v>75</v>
      </c>
      <c r="E6" s="4">
        <v>9.375E-2</v>
      </c>
      <c r="F6" s="6">
        <f t="shared" si="1"/>
        <v>225</v>
      </c>
      <c r="G6" s="2" t="s">
        <v>5</v>
      </c>
      <c r="H6" s="2" t="s">
        <v>5</v>
      </c>
      <c r="I6" s="2" t="s">
        <v>14</v>
      </c>
    </row>
    <row r="7" spans="1:9" ht="26.4" outlineLevel="2" x14ac:dyDescent="0.25">
      <c r="A7" s="2" t="s">
        <v>20</v>
      </c>
      <c r="B7" s="3" t="s">
        <v>21</v>
      </c>
      <c r="C7" s="4">
        <v>0.125</v>
      </c>
      <c r="D7" s="6">
        <f t="shared" si="2"/>
        <v>300</v>
      </c>
      <c r="E7" s="4">
        <v>0.10416666666666667</v>
      </c>
      <c r="F7" s="6">
        <f t="shared" si="1"/>
        <v>250</v>
      </c>
      <c r="G7" s="2" t="s">
        <v>23</v>
      </c>
      <c r="H7" s="2" t="s">
        <v>16</v>
      </c>
      <c r="I7" s="2" t="s">
        <v>14</v>
      </c>
    </row>
    <row r="8" spans="1:9" outlineLevel="2" x14ac:dyDescent="0.25">
      <c r="A8" s="2" t="s">
        <v>24</v>
      </c>
      <c r="B8" s="3" t="s">
        <v>25</v>
      </c>
      <c r="C8" s="4">
        <v>6.25E-2</v>
      </c>
      <c r="D8" s="6">
        <f t="shared" si="2"/>
        <v>150</v>
      </c>
      <c r="E8" s="4">
        <v>6.25E-2</v>
      </c>
      <c r="F8" s="6">
        <f t="shared" si="1"/>
        <v>150</v>
      </c>
      <c r="G8" s="2" t="s">
        <v>23</v>
      </c>
      <c r="H8" s="2" t="s">
        <v>16</v>
      </c>
      <c r="I8" s="2" t="s">
        <v>14</v>
      </c>
    </row>
    <row r="9" spans="1:9" outlineLevel="2" x14ac:dyDescent="0.25">
      <c r="A9" s="2" t="s">
        <v>27</v>
      </c>
      <c r="B9" s="3" t="s">
        <v>28</v>
      </c>
      <c r="C9" s="4">
        <f>SUMIF($I$10:$I$80,"TTT-16",C10:$C$80)</f>
        <v>2.0833333333333332E-2</v>
      </c>
      <c r="D9" s="6">
        <f t="shared" si="2"/>
        <v>50</v>
      </c>
      <c r="E9" s="4">
        <f>SUMIF($I$10:$I$80,"TTT-16",E10:$E$80)</f>
        <v>2.0833333333333332E-2</v>
      </c>
      <c r="F9" s="6">
        <f t="shared" si="1"/>
        <v>50</v>
      </c>
      <c r="G9" s="2" t="s">
        <v>23</v>
      </c>
      <c r="H9" s="2" t="s">
        <v>16</v>
      </c>
      <c r="I9" s="2" t="s">
        <v>14</v>
      </c>
    </row>
    <row r="10" spans="1:9" ht="26.4" outlineLevel="3" x14ac:dyDescent="0.25">
      <c r="A10" s="2" t="s">
        <v>30</v>
      </c>
      <c r="B10" s="3" t="s">
        <v>31</v>
      </c>
      <c r="C10" s="4">
        <v>2.0833333333333332E-2</v>
      </c>
      <c r="D10" s="6">
        <f t="shared" si="2"/>
        <v>50</v>
      </c>
      <c r="E10" s="4">
        <v>2.0833333333333332E-2</v>
      </c>
      <c r="F10" s="6">
        <f t="shared" si="1"/>
        <v>50</v>
      </c>
      <c r="G10" s="2" t="s">
        <v>32</v>
      </c>
      <c r="H10" s="2" t="s">
        <v>32</v>
      </c>
      <c r="I10" s="2" t="s">
        <v>27</v>
      </c>
    </row>
    <row r="11" spans="1:9" outlineLevel="1" collapsed="1" x14ac:dyDescent="0.25">
      <c r="A11" s="2" t="s">
        <v>33</v>
      </c>
      <c r="B11" s="3" t="s">
        <v>34</v>
      </c>
      <c r="C11" s="4">
        <f>SUMIF($I$12:$I$80,"TTT-46",C12:$C$80)</f>
        <v>0.3125</v>
      </c>
      <c r="D11" s="6">
        <f t="shared" si="2"/>
        <v>750</v>
      </c>
      <c r="E11" s="4">
        <f>SUMIF($I$12:$I$80,"TTT-46",E12:$E$80)</f>
        <v>0.32291666666666669</v>
      </c>
      <c r="F11" s="6">
        <f t="shared" si="1"/>
        <v>775</v>
      </c>
      <c r="G11" s="2" t="s">
        <v>35</v>
      </c>
      <c r="H11" s="2" t="s">
        <v>36</v>
      </c>
      <c r="I11" s="2" t="s">
        <v>11</v>
      </c>
    </row>
    <row r="12" spans="1:9" ht="26.4" hidden="1" outlineLevel="2" x14ac:dyDescent="0.25">
      <c r="A12" s="2" t="s">
        <v>37</v>
      </c>
      <c r="B12" s="3" t="s">
        <v>38</v>
      </c>
      <c r="C12" s="4">
        <v>8.3333333333333329E-2</v>
      </c>
      <c r="D12" s="6">
        <f t="shared" si="2"/>
        <v>200</v>
      </c>
      <c r="E12" s="4">
        <v>9.375E-2</v>
      </c>
      <c r="F12" s="6">
        <f t="shared" si="1"/>
        <v>225</v>
      </c>
      <c r="G12" s="2" t="s">
        <v>36</v>
      </c>
      <c r="H12" s="2" t="s">
        <v>36</v>
      </c>
      <c r="I12" s="2" t="s">
        <v>33</v>
      </c>
    </row>
    <row r="13" spans="1:9" ht="26.4" hidden="1" outlineLevel="2" x14ac:dyDescent="0.25">
      <c r="A13" s="2" t="s">
        <v>39</v>
      </c>
      <c r="B13" s="3" t="s">
        <v>40</v>
      </c>
      <c r="C13" s="4">
        <v>0.125</v>
      </c>
      <c r="D13" s="6">
        <f t="shared" si="2"/>
        <v>300</v>
      </c>
      <c r="E13" s="4">
        <v>0.125</v>
      </c>
      <c r="F13" s="6">
        <f t="shared" si="1"/>
        <v>300</v>
      </c>
      <c r="G13" s="2" t="s">
        <v>41</v>
      </c>
      <c r="H13" s="2" t="s">
        <v>42</v>
      </c>
      <c r="I13" s="2" t="s">
        <v>33</v>
      </c>
    </row>
    <row r="14" spans="1:9" ht="26.4" hidden="1" outlineLevel="2" x14ac:dyDescent="0.25">
      <c r="A14" s="2" t="s">
        <v>43</v>
      </c>
      <c r="B14" s="3" t="s">
        <v>44</v>
      </c>
      <c r="C14" s="4">
        <v>4.1666666666666664E-2</v>
      </c>
      <c r="D14" s="6">
        <f t="shared" si="2"/>
        <v>100</v>
      </c>
      <c r="E14" s="4">
        <v>4.1666666666666664E-2</v>
      </c>
      <c r="F14" s="6">
        <f t="shared" si="1"/>
        <v>100</v>
      </c>
      <c r="G14" s="2" t="s">
        <v>36</v>
      </c>
      <c r="H14" s="2" t="s">
        <v>36</v>
      </c>
      <c r="I14" s="2" t="s">
        <v>33</v>
      </c>
    </row>
    <row r="15" spans="1:9" ht="26.4" hidden="1" outlineLevel="2" x14ac:dyDescent="0.25">
      <c r="A15" s="2" t="s">
        <v>46</v>
      </c>
      <c r="B15" s="3" t="s">
        <v>47</v>
      </c>
      <c r="C15" s="4">
        <v>2.0833333333333332E-2</v>
      </c>
      <c r="D15" s="6">
        <f t="shared" si="2"/>
        <v>50</v>
      </c>
      <c r="E15" s="4">
        <v>2.0833333333333332E-2</v>
      </c>
      <c r="F15" s="6">
        <f t="shared" si="1"/>
        <v>50</v>
      </c>
      <c r="G15" s="2" t="s">
        <v>48</v>
      </c>
      <c r="H15" s="2" t="s">
        <v>48</v>
      </c>
      <c r="I15" s="2" t="s">
        <v>33</v>
      </c>
    </row>
    <row r="16" spans="1:9" ht="26.4" hidden="1" outlineLevel="2" x14ac:dyDescent="0.25">
      <c r="A16" s="2" t="s">
        <v>49</v>
      </c>
      <c r="B16" s="3" t="s">
        <v>50</v>
      </c>
      <c r="C16" s="4">
        <v>4.1666666666666664E-2</v>
      </c>
      <c r="D16" s="6">
        <f t="shared" si="2"/>
        <v>100</v>
      </c>
      <c r="E16" s="4">
        <v>4.1666666666666664E-2</v>
      </c>
      <c r="F16" s="6">
        <f t="shared" si="1"/>
        <v>100</v>
      </c>
      <c r="G16" s="2" t="s">
        <v>35</v>
      </c>
      <c r="H16" s="2" t="s">
        <v>35</v>
      </c>
      <c r="I16" s="2" t="s">
        <v>33</v>
      </c>
    </row>
    <row r="17" spans="1:9" ht="26.4" outlineLevel="1" collapsed="1" x14ac:dyDescent="0.25">
      <c r="A17" s="2" t="s">
        <v>51</v>
      </c>
      <c r="B17" s="3" t="s">
        <v>52</v>
      </c>
      <c r="C17" s="4">
        <f>SUMIF($I$18:$I$80,"TTT-146",C18:$C$80)</f>
        <v>0.53125</v>
      </c>
      <c r="D17" s="6">
        <f t="shared" si="2"/>
        <v>1275</v>
      </c>
      <c r="E17" s="4">
        <v>0.63541666666666663</v>
      </c>
      <c r="F17" s="6">
        <f t="shared" si="1"/>
        <v>1525</v>
      </c>
      <c r="G17" s="2" t="s">
        <v>5</v>
      </c>
      <c r="H17" s="2" t="s">
        <v>13</v>
      </c>
      <c r="I17" s="2" t="s">
        <v>11</v>
      </c>
    </row>
    <row r="18" spans="1:9" hidden="1" outlineLevel="2" x14ac:dyDescent="0.25">
      <c r="A18" s="2" t="s">
        <v>53</v>
      </c>
      <c r="B18" s="3" t="s">
        <v>54</v>
      </c>
      <c r="C18" s="4">
        <v>6.25E-2</v>
      </c>
      <c r="D18" s="6">
        <f t="shared" si="2"/>
        <v>150</v>
      </c>
      <c r="E18" s="2" t="s">
        <v>45</v>
      </c>
      <c r="F18" s="6" t="e">
        <f t="shared" si="1"/>
        <v>#VALUE!</v>
      </c>
      <c r="G18" s="2" t="s">
        <v>55</v>
      </c>
      <c r="H18" s="2" t="s">
        <v>55</v>
      </c>
      <c r="I18" s="2" t="s">
        <v>51</v>
      </c>
    </row>
    <row r="19" spans="1:9" ht="26.4" hidden="1" outlineLevel="2" x14ac:dyDescent="0.25">
      <c r="A19" s="2" t="s">
        <v>56</v>
      </c>
      <c r="B19" s="3" t="s">
        <v>57</v>
      </c>
      <c r="C19" s="4">
        <v>6.25E-2</v>
      </c>
      <c r="D19" s="6">
        <f t="shared" si="2"/>
        <v>150</v>
      </c>
      <c r="E19" s="2" t="s">
        <v>22</v>
      </c>
      <c r="F19" s="6" t="e">
        <f t="shared" si="1"/>
        <v>#VALUE!</v>
      </c>
      <c r="G19" s="2" t="s">
        <v>58</v>
      </c>
      <c r="H19" s="2" t="s">
        <v>58</v>
      </c>
      <c r="I19" s="2" t="s">
        <v>51</v>
      </c>
    </row>
    <row r="20" spans="1:9" hidden="1" outlineLevel="2" x14ac:dyDescent="0.25">
      <c r="A20" s="2" t="s">
        <v>59</v>
      </c>
      <c r="B20" s="3" t="s">
        <v>60</v>
      </c>
      <c r="C20" s="4">
        <v>0.16666666666666666</v>
      </c>
      <c r="D20" s="6">
        <f t="shared" si="2"/>
        <v>400</v>
      </c>
      <c r="E20" s="2" t="s">
        <v>61</v>
      </c>
      <c r="F20" s="6" t="e">
        <f t="shared" si="1"/>
        <v>#VALUE!</v>
      </c>
      <c r="G20" s="2" t="s">
        <v>32</v>
      </c>
      <c r="H20" s="2" t="s">
        <v>32</v>
      </c>
      <c r="I20" s="2" t="s">
        <v>51</v>
      </c>
    </row>
    <row r="21" spans="1:9" ht="26.4" hidden="1" outlineLevel="2" x14ac:dyDescent="0.25">
      <c r="A21" s="2" t="s">
        <v>62</v>
      </c>
      <c r="B21" s="3" t="s">
        <v>63</v>
      </c>
      <c r="C21" s="4">
        <v>0.125</v>
      </c>
      <c r="D21" s="6">
        <f t="shared" si="2"/>
        <v>300</v>
      </c>
      <c r="E21" s="2" t="s">
        <v>22</v>
      </c>
      <c r="F21" s="6" t="e">
        <f t="shared" si="1"/>
        <v>#VALUE!</v>
      </c>
      <c r="G21" s="2" t="s">
        <v>5</v>
      </c>
      <c r="H21" s="2" t="s">
        <v>5</v>
      </c>
      <c r="I21" s="2" t="s">
        <v>51</v>
      </c>
    </row>
    <row r="22" spans="1:9" ht="52.8" hidden="1" outlineLevel="2" x14ac:dyDescent="0.25">
      <c r="A22" s="2" t="s">
        <v>64</v>
      </c>
      <c r="B22" s="3" t="s">
        <v>65</v>
      </c>
      <c r="C22" s="4">
        <v>3.125E-2</v>
      </c>
      <c r="D22" s="6">
        <f t="shared" si="2"/>
        <v>75</v>
      </c>
      <c r="E22" s="2" t="s">
        <v>19</v>
      </c>
      <c r="F22" s="6" t="e">
        <f t="shared" si="1"/>
        <v>#VALUE!</v>
      </c>
      <c r="G22" s="2" t="s">
        <v>13</v>
      </c>
      <c r="H22" s="2" t="s">
        <v>13</v>
      </c>
      <c r="I22" s="2" t="s">
        <v>51</v>
      </c>
    </row>
    <row r="23" spans="1:9" ht="26.4" hidden="1" outlineLevel="2" x14ac:dyDescent="0.25">
      <c r="A23" s="2" t="s">
        <v>66</v>
      </c>
      <c r="B23" s="3" t="s">
        <v>67</v>
      </c>
      <c r="C23" s="4">
        <v>8.3333333333333329E-2</v>
      </c>
      <c r="D23" s="6">
        <f t="shared" si="2"/>
        <v>200</v>
      </c>
      <c r="E23" s="2" t="s">
        <v>26</v>
      </c>
      <c r="F23" s="6" t="e">
        <f t="shared" si="1"/>
        <v>#VALUE!</v>
      </c>
      <c r="G23" s="2" t="s">
        <v>5</v>
      </c>
      <c r="H23" s="2" t="s">
        <v>5</v>
      </c>
      <c r="I23" s="2" t="s">
        <v>51</v>
      </c>
    </row>
    <row r="24" spans="1:9" ht="39.6" outlineLevel="1" x14ac:dyDescent="0.25">
      <c r="A24" s="2" t="s">
        <v>68</v>
      </c>
      <c r="B24" s="3" t="s">
        <v>69</v>
      </c>
      <c r="C24" s="4">
        <v>8.3333333333333329E-2</v>
      </c>
      <c r="D24" s="6">
        <f t="shared" si="2"/>
        <v>200</v>
      </c>
      <c r="E24" s="4">
        <v>6.25E-2</v>
      </c>
      <c r="F24" s="6">
        <f t="shared" si="1"/>
        <v>150</v>
      </c>
      <c r="G24" s="2" t="s">
        <v>70</v>
      </c>
      <c r="H24" s="2" t="s">
        <v>13</v>
      </c>
      <c r="I24" s="2" t="s">
        <v>11</v>
      </c>
    </row>
    <row r="25" spans="1:9" outlineLevel="1" x14ac:dyDescent="0.25">
      <c r="A25" s="2" t="s">
        <v>71</v>
      </c>
      <c r="B25" s="3" t="s">
        <v>72</v>
      </c>
      <c r="C25" s="4">
        <v>0.16666666666666666</v>
      </c>
      <c r="D25" s="6">
        <f t="shared" si="2"/>
        <v>400</v>
      </c>
      <c r="E25" s="4">
        <v>0.1875</v>
      </c>
      <c r="F25" s="6">
        <f t="shared" si="1"/>
        <v>450</v>
      </c>
      <c r="G25" s="2" t="s">
        <v>5</v>
      </c>
      <c r="H25" s="2" t="s">
        <v>13</v>
      </c>
      <c r="I25" s="2" t="s">
        <v>11</v>
      </c>
    </row>
    <row r="26" spans="1:9" outlineLevel="1" x14ac:dyDescent="0.25">
      <c r="A26" s="2" t="s">
        <v>73</v>
      </c>
      <c r="B26" s="3" t="s">
        <v>74</v>
      </c>
      <c r="C26" s="4">
        <v>0.25</v>
      </c>
      <c r="D26" s="6">
        <f t="shared" si="2"/>
        <v>600</v>
      </c>
      <c r="E26" s="4">
        <v>0.25</v>
      </c>
      <c r="F26" s="6">
        <f t="shared" si="1"/>
        <v>600</v>
      </c>
      <c r="G26" s="2" t="s">
        <v>13</v>
      </c>
      <c r="H26" s="2" t="s">
        <v>13</v>
      </c>
      <c r="I26" s="2" t="s">
        <v>11</v>
      </c>
    </row>
    <row r="27" spans="1:9" x14ac:dyDescent="0.25">
      <c r="A27" s="2" t="s">
        <v>75</v>
      </c>
      <c r="B27" s="3" t="s">
        <v>76</v>
      </c>
      <c r="C27" s="5">
        <f>SUMIF($I$28:$I$80,"TTT-6",C28:$C$80)</f>
        <v>3.177083333333333</v>
      </c>
      <c r="D27" s="6">
        <f t="shared" si="2"/>
        <v>7625</v>
      </c>
      <c r="E27" s="5">
        <v>1.5416666666666667</v>
      </c>
      <c r="F27" s="6">
        <f t="shared" si="1"/>
        <v>3700</v>
      </c>
      <c r="G27" s="2" t="s">
        <v>77</v>
      </c>
      <c r="H27" s="2" t="s">
        <v>78</v>
      </c>
      <c r="I27" s="2" t="s">
        <v>3</v>
      </c>
    </row>
    <row r="28" spans="1:9" outlineLevel="1" collapsed="1" x14ac:dyDescent="0.25">
      <c r="A28" s="2" t="s">
        <v>79</v>
      </c>
      <c r="B28" s="3" t="s">
        <v>34</v>
      </c>
      <c r="C28" s="4">
        <f>SUMIF($I$29:$I$80,"TTT-141",C29:$C$80)</f>
        <v>0.79166666666666674</v>
      </c>
      <c r="D28" s="6">
        <f t="shared" si="2"/>
        <v>1900</v>
      </c>
      <c r="E28" s="4">
        <f>SUMIF($I$29:$I$80,"TTT-141",E29:$E$80)</f>
        <v>0.61458333333333326</v>
      </c>
      <c r="F28" s="6">
        <f t="shared" si="1"/>
        <v>1474.9999999999998</v>
      </c>
      <c r="G28" s="2" t="s">
        <v>77</v>
      </c>
      <c r="H28" s="2" t="s">
        <v>80</v>
      </c>
      <c r="I28" s="2" t="s">
        <v>75</v>
      </c>
    </row>
    <row r="29" spans="1:9" ht="26.4" hidden="1" outlineLevel="2" x14ac:dyDescent="0.25">
      <c r="A29" s="2" t="s">
        <v>81</v>
      </c>
      <c r="B29" s="3" t="s">
        <v>82</v>
      </c>
      <c r="C29" s="4">
        <v>0.125</v>
      </c>
      <c r="D29" s="6">
        <f t="shared" si="2"/>
        <v>300</v>
      </c>
      <c r="E29" s="4">
        <v>8.3333333333333329E-2</v>
      </c>
      <c r="F29" s="6">
        <f t="shared" si="1"/>
        <v>200</v>
      </c>
      <c r="G29" s="2" t="s">
        <v>77</v>
      </c>
      <c r="H29" s="2" t="s">
        <v>83</v>
      </c>
      <c r="I29" s="2" t="s">
        <v>79</v>
      </c>
    </row>
    <row r="30" spans="1:9" hidden="1" outlineLevel="2" x14ac:dyDescent="0.25">
      <c r="A30" s="2" t="s">
        <v>84</v>
      </c>
      <c r="B30" s="3" t="s">
        <v>85</v>
      </c>
      <c r="C30" s="4">
        <v>0.41666666666666669</v>
      </c>
      <c r="D30" s="6">
        <f t="shared" si="2"/>
        <v>1000</v>
      </c>
      <c r="E30" s="4">
        <v>0.41666666666666669</v>
      </c>
      <c r="F30" s="6">
        <f t="shared" si="1"/>
        <v>1000</v>
      </c>
      <c r="G30" s="2" t="s">
        <v>77</v>
      </c>
      <c r="H30" s="2" t="s">
        <v>83</v>
      </c>
      <c r="I30" s="2" t="s">
        <v>79</v>
      </c>
    </row>
    <row r="31" spans="1:9" hidden="1" outlineLevel="2" x14ac:dyDescent="0.25">
      <c r="A31" s="2" t="s">
        <v>86</v>
      </c>
      <c r="B31" s="3" t="s">
        <v>87</v>
      </c>
      <c r="C31" s="4">
        <v>0.16666666666666666</v>
      </c>
      <c r="D31" s="6">
        <f t="shared" si="2"/>
        <v>400</v>
      </c>
      <c r="E31" s="4">
        <v>4.1666666666666664E-2</v>
      </c>
      <c r="F31" s="6">
        <f t="shared" si="1"/>
        <v>100</v>
      </c>
      <c r="G31" s="2" t="s">
        <v>88</v>
      </c>
      <c r="H31" s="2" t="s">
        <v>89</v>
      </c>
      <c r="I31" s="2" t="s">
        <v>79</v>
      </c>
    </row>
    <row r="32" spans="1:9" ht="26.4" hidden="1" outlineLevel="2" x14ac:dyDescent="0.25">
      <c r="A32" s="2" t="s">
        <v>90</v>
      </c>
      <c r="B32" s="3" t="s">
        <v>91</v>
      </c>
      <c r="C32" s="4">
        <v>8.3333333333333329E-2</v>
      </c>
      <c r="D32" s="6">
        <f t="shared" si="2"/>
        <v>200</v>
      </c>
      <c r="E32" s="4">
        <v>7.2916666666666671E-2</v>
      </c>
      <c r="F32" s="6">
        <f t="shared" si="1"/>
        <v>175</v>
      </c>
      <c r="G32" s="2" t="s">
        <v>88</v>
      </c>
      <c r="H32" s="2" t="s">
        <v>80</v>
      </c>
      <c r="I32" s="2" t="s">
        <v>79</v>
      </c>
    </row>
    <row r="33" spans="1:9" outlineLevel="1" collapsed="1" x14ac:dyDescent="0.25">
      <c r="A33" s="2" t="s">
        <v>92</v>
      </c>
      <c r="B33" s="3" t="s">
        <v>93</v>
      </c>
      <c r="C33" s="4">
        <f>SUMIF($I$33:$I$80,"TTT-48",C33:$C$80)</f>
        <v>0.54166666666666674</v>
      </c>
      <c r="D33" s="6">
        <f t="shared" si="2"/>
        <v>1300.0000000000002</v>
      </c>
      <c r="E33" s="4">
        <f>SUMIF($I$33:$I$80,"TTT-48",E33:$E$80)</f>
        <v>0.33333333333333331</v>
      </c>
      <c r="F33" s="6">
        <f t="shared" si="1"/>
        <v>800</v>
      </c>
      <c r="G33" s="2" t="s">
        <v>94</v>
      </c>
      <c r="H33" s="2" t="s">
        <v>95</v>
      </c>
      <c r="I33" s="2" t="s">
        <v>75</v>
      </c>
    </row>
    <row r="34" spans="1:9" hidden="1" outlineLevel="2" x14ac:dyDescent="0.25">
      <c r="A34" s="2" t="s">
        <v>96</v>
      </c>
      <c r="B34" s="3" t="s">
        <v>97</v>
      </c>
      <c r="C34" s="4">
        <v>0.20833333333333334</v>
      </c>
      <c r="D34" s="6">
        <f t="shared" si="2"/>
        <v>500</v>
      </c>
      <c r="E34" s="4">
        <v>0.1875</v>
      </c>
      <c r="F34" s="6">
        <f t="shared" si="1"/>
        <v>450</v>
      </c>
      <c r="G34" s="2" t="s">
        <v>98</v>
      </c>
      <c r="H34" s="2" t="s">
        <v>99</v>
      </c>
      <c r="I34" s="2" t="s">
        <v>92</v>
      </c>
    </row>
    <row r="35" spans="1:9" ht="26.4" hidden="1" outlineLevel="2" x14ac:dyDescent="0.25">
      <c r="A35" s="2" t="s">
        <v>100</v>
      </c>
      <c r="B35" s="3" t="s">
        <v>101</v>
      </c>
      <c r="C35" s="4">
        <v>0.25</v>
      </c>
      <c r="D35" s="6">
        <f t="shared" si="2"/>
        <v>600</v>
      </c>
      <c r="E35" s="4">
        <v>4.1666666666666664E-2</v>
      </c>
      <c r="F35" s="6">
        <f t="shared" si="1"/>
        <v>100</v>
      </c>
      <c r="G35" s="2" t="s">
        <v>102</v>
      </c>
      <c r="H35" s="2" t="s">
        <v>95</v>
      </c>
      <c r="I35" s="2" t="s">
        <v>92</v>
      </c>
    </row>
    <row r="36" spans="1:9" hidden="1" outlineLevel="2" x14ac:dyDescent="0.25">
      <c r="A36" s="2" t="s">
        <v>103</v>
      </c>
      <c r="B36" s="3" t="s">
        <v>104</v>
      </c>
      <c r="C36" s="4">
        <v>8.3333333333333329E-2</v>
      </c>
      <c r="D36" s="6">
        <f t="shared" si="2"/>
        <v>200</v>
      </c>
      <c r="E36" s="4">
        <v>0.10416666666666667</v>
      </c>
      <c r="F36" s="6">
        <f t="shared" si="1"/>
        <v>250</v>
      </c>
      <c r="G36" s="2" t="s">
        <v>105</v>
      </c>
      <c r="H36" s="2" t="s">
        <v>106</v>
      </c>
      <c r="I36" s="2" t="s">
        <v>92</v>
      </c>
    </row>
    <row r="37" spans="1:9" ht="39.6" outlineLevel="1" x14ac:dyDescent="0.25">
      <c r="A37" s="2" t="s">
        <v>107</v>
      </c>
      <c r="B37" s="3" t="s">
        <v>108</v>
      </c>
      <c r="C37" s="4">
        <v>8.3333333333333329E-2</v>
      </c>
      <c r="D37" s="6">
        <f t="shared" si="2"/>
        <v>200</v>
      </c>
      <c r="E37" s="4">
        <v>0</v>
      </c>
      <c r="F37" s="6">
        <f t="shared" si="1"/>
        <v>0</v>
      </c>
      <c r="G37" s="2" t="s">
        <v>109</v>
      </c>
      <c r="H37" s="2" t="s">
        <v>78</v>
      </c>
      <c r="I37" s="2" t="s">
        <v>75</v>
      </c>
    </row>
    <row r="38" spans="1:9" outlineLevel="1" collapsed="1" x14ac:dyDescent="0.25">
      <c r="A38" s="2" t="s">
        <v>110</v>
      </c>
      <c r="B38" s="3" t="s">
        <v>111</v>
      </c>
      <c r="C38" s="4">
        <f>SUMIF($I$39:$I$80,"TTT-25",C39:$C$80)</f>
        <v>0.81249999999999989</v>
      </c>
      <c r="D38" s="6">
        <f t="shared" si="2"/>
        <v>1949.9999999999995</v>
      </c>
      <c r="E38" s="4">
        <f>SUMIF($I$39:$I$80,"TTT-25",E39:$E$80)</f>
        <v>0.4375</v>
      </c>
      <c r="F38" s="6">
        <f t="shared" si="1"/>
        <v>1050</v>
      </c>
      <c r="G38" s="2" t="s">
        <v>105</v>
      </c>
      <c r="H38" s="2" t="s">
        <v>112</v>
      </c>
      <c r="I38" s="2" t="s">
        <v>75</v>
      </c>
    </row>
    <row r="39" spans="1:9" ht="26.4" hidden="1" outlineLevel="2" x14ac:dyDescent="0.25">
      <c r="A39" s="2" t="s">
        <v>113</v>
      </c>
      <c r="B39" s="3" t="s">
        <v>114</v>
      </c>
      <c r="C39" s="4">
        <v>0.125</v>
      </c>
      <c r="D39" s="6">
        <f t="shared" si="2"/>
        <v>300</v>
      </c>
      <c r="E39" s="4">
        <v>8.3333333333333329E-2</v>
      </c>
      <c r="F39" s="6">
        <f t="shared" si="1"/>
        <v>200</v>
      </c>
      <c r="G39" s="2" t="s">
        <v>105</v>
      </c>
      <c r="H39" s="2" t="s">
        <v>115</v>
      </c>
      <c r="I39" s="2" t="s">
        <v>110</v>
      </c>
    </row>
    <row r="40" spans="1:9" ht="26.4" hidden="1" outlineLevel="2" x14ac:dyDescent="0.25">
      <c r="A40" s="2" t="s">
        <v>116</v>
      </c>
      <c r="B40" s="3" t="s">
        <v>117</v>
      </c>
      <c r="C40" s="4">
        <v>4.1666666666666664E-2</v>
      </c>
      <c r="D40" s="6">
        <f t="shared" si="2"/>
        <v>100</v>
      </c>
      <c r="E40" s="4">
        <v>6.25E-2</v>
      </c>
      <c r="F40" s="6">
        <f t="shared" si="1"/>
        <v>150</v>
      </c>
      <c r="G40" s="2" t="s">
        <v>105</v>
      </c>
      <c r="H40" s="2" t="s">
        <v>106</v>
      </c>
      <c r="I40" s="2" t="s">
        <v>110</v>
      </c>
    </row>
    <row r="41" spans="1:9" ht="26.4" hidden="1" outlineLevel="2" x14ac:dyDescent="0.25">
      <c r="A41" s="2" t="s">
        <v>118</v>
      </c>
      <c r="B41" s="3" t="s">
        <v>119</v>
      </c>
      <c r="C41" s="4">
        <v>0.25</v>
      </c>
      <c r="D41" s="6">
        <f t="shared" si="2"/>
        <v>600</v>
      </c>
      <c r="E41" s="4">
        <v>2.0833333333333332E-2</v>
      </c>
      <c r="F41" s="6">
        <f t="shared" si="1"/>
        <v>50</v>
      </c>
      <c r="G41" s="2" t="s">
        <v>105</v>
      </c>
      <c r="H41" s="2" t="s">
        <v>112</v>
      </c>
      <c r="I41" s="2" t="s">
        <v>110</v>
      </c>
    </row>
    <row r="42" spans="1:9" ht="26.4" hidden="1" outlineLevel="2" x14ac:dyDescent="0.25">
      <c r="A42" s="2" t="s">
        <v>120</v>
      </c>
      <c r="B42" s="3" t="s">
        <v>121</v>
      </c>
      <c r="C42" s="4">
        <v>0.125</v>
      </c>
      <c r="D42" s="6">
        <f t="shared" si="2"/>
        <v>300</v>
      </c>
      <c r="E42" s="4">
        <v>0</v>
      </c>
      <c r="F42" s="6">
        <f t="shared" si="1"/>
        <v>0</v>
      </c>
      <c r="G42" s="2" t="s">
        <v>115</v>
      </c>
      <c r="H42" s="2" t="s">
        <v>115</v>
      </c>
      <c r="I42" s="2" t="s">
        <v>110</v>
      </c>
    </row>
    <row r="43" spans="1:9" ht="26.4" hidden="1" outlineLevel="2" x14ac:dyDescent="0.25">
      <c r="A43" s="2" t="s">
        <v>122</v>
      </c>
      <c r="B43" s="3" t="s">
        <v>123</v>
      </c>
      <c r="C43" s="4">
        <v>0.16666666666666666</v>
      </c>
      <c r="D43" s="6">
        <f t="shared" si="2"/>
        <v>400</v>
      </c>
      <c r="E43" s="4">
        <v>0.16666666666666666</v>
      </c>
      <c r="F43" s="6">
        <f t="shared" si="1"/>
        <v>400</v>
      </c>
      <c r="G43" s="2" t="s">
        <v>105</v>
      </c>
      <c r="H43" s="2" t="s">
        <v>105</v>
      </c>
      <c r="I43" s="2" t="s">
        <v>110</v>
      </c>
    </row>
    <row r="44" spans="1:9" ht="26.4" hidden="1" outlineLevel="2" x14ac:dyDescent="0.25">
      <c r="A44" s="2" t="s">
        <v>124</v>
      </c>
      <c r="B44" s="3" t="s">
        <v>125</v>
      </c>
      <c r="C44" s="4">
        <v>0.10416666666666667</v>
      </c>
      <c r="D44" s="6">
        <f t="shared" si="2"/>
        <v>250</v>
      </c>
      <c r="E44" s="4">
        <v>0.10416666666666667</v>
      </c>
      <c r="F44" s="6">
        <f t="shared" si="1"/>
        <v>250</v>
      </c>
      <c r="G44" s="2" t="s">
        <v>105</v>
      </c>
      <c r="H44" s="2" t="s">
        <v>105</v>
      </c>
      <c r="I44" s="2" t="s">
        <v>110</v>
      </c>
    </row>
    <row r="45" spans="1:9" ht="39.6" outlineLevel="1" collapsed="1" x14ac:dyDescent="0.25">
      <c r="A45" s="2" t="s">
        <v>126</v>
      </c>
      <c r="B45" s="3" t="s">
        <v>127</v>
      </c>
      <c r="C45" s="4">
        <f>SUMIF($I$46:$I$80,"TTT-47",C46:$C$80)</f>
        <v>0.48958333333333337</v>
      </c>
      <c r="D45" s="6">
        <f t="shared" si="2"/>
        <v>1175</v>
      </c>
      <c r="E45" s="4">
        <f>SUMIF($I$46:$I$80,"TTT-47",E46:$E$80)</f>
        <v>0</v>
      </c>
      <c r="F45" s="6">
        <f t="shared" si="1"/>
        <v>0</v>
      </c>
      <c r="G45" s="2" t="s">
        <v>98</v>
      </c>
      <c r="H45" s="2" t="s">
        <v>78</v>
      </c>
      <c r="I45" s="2" t="s">
        <v>75</v>
      </c>
    </row>
    <row r="46" spans="1:9" hidden="1" outlineLevel="2" x14ac:dyDescent="0.25">
      <c r="A46" s="2" t="s">
        <v>128</v>
      </c>
      <c r="B46" s="3" t="s">
        <v>129</v>
      </c>
      <c r="C46" s="4">
        <v>8.3333333333333329E-2</v>
      </c>
      <c r="D46" s="6">
        <f t="shared" si="2"/>
        <v>200</v>
      </c>
      <c r="E46" s="2" t="s">
        <v>29</v>
      </c>
      <c r="F46" s="6" t="e">
        <f t="shared" si="1"/>
        <v>#VALUE!</v>
      </c>
      <c r="G46" s="2" t="s">
        <v>98</v>
      </c>
      <c r="H46" s="2" t="s">
        <v>130</v>
      </c>
      <c r="I46" s="2" t="s">
        <v>126</v>
      </c>
    </row>
    <row r="47" spans="1:9" ht="26.4" hidden="1" outlineLevel="2" x14ac:dyDescent="0.25">
      <c r="A47" s="2" t="s">
        <v>131</v>
      </c>
      <c r="B47" s="3" t="s">
        <v>132</v>
      </c>
      <c r="C47" s="4">
        <v>2.0833333333333332E-2</v>
      </c>
      <c r="D47" s="6">
        <f t="shared" si="2"/>
        <v>50</v>
      </c>
      <c r="E47" s="2" t="s">
        <v>29</v>
      </c>
      <c r="F47" s="6" t="e">
        <f t="shared" si="1"/>
        <v>#VALUE!</v>
      </c>
      <c r="G47" s="2" t="s">
        <v>133</v>
      </c>
      <c r="H47" s="2" t="s">
        <v>133</v>
      </c>
      <c r="I47" s="2" t="s">
        <v>126</v>
      </c>
    </row>
    <row r="48" spans="1:9" ht="26.4" hidden="1" outlineLevel="2" x14ac:dyDescent="0.25">
      <c r="A48" s="2" t="s">
        <v>134</v>
      </c>
      <c r="B48" s="3" t="s">
        <v>135</v>
      </c>
      <c r="C48" s="4">
        <v>2.0833333333333332E-2</v>
      </c>
      <c r="D48" s="6">
        <f t="shared" si="2"/>
        <v>50</v>
      </c>
      <c r="E48" s="2" t="s">
        <v>9</v>
      </c>
      <c r="F48" s="6" t="e">
        <f t="shared" si="1"/>
        <v>#VALUE!</v>
      </c>
      <c r="G48" s="2" t="s">
        <v>133</v>
      </c>
      <c r="H48" s="2" t="s">
        <v>133</v>
      </c>
      <c r="I48" s="2" t="s">
        <v>126</v>
      </c>
    </row>
    <row r="49" spans="1:9" ht="26.4" hidden="1" outlineLevel="2" x14ac:dyDescent="0.25">
      <c r="A49" s="2" t="s">
        <v>136</v>
      </c>
      <c r="B49" s="3" t="s">
        <v>137</v>
      </c>
      <c r="C49" s="4">
        <v>2.0833333333333332E-2</v>
      </c>
      <c r="D49" s="6">
        <f t="shared" si="2"/>
        <v>50</v>
      </c>
      <c r="E49" s="2" t="s">
        <v>9</v>
      </c>
      <c r="F49" s="6" t="e">
        <f t="shared" si="1"/>
        <v>#VALUE!</v>
      </c>
      <c r="G49" s="2" t="s">
        <v>133</v>
      </c>
      <c r="H49" s="2" t="s">
        <v>133</v>
      </c>
      <c r="I49" s="2" t="s">
        <v>126</v>
      </c>
    </row>
    <row r="50" spans="1:9" ht="26.4" hidden="1" outlineLevel="2" x14ac:dyDescent="0.25">
      <c r="A50" s="2" t="s">
        <v>138</v>
      </c>
      <c r="B50" s="3" t="s">
        <v>139</v>
      </c>
      <c r="C50" s="4">
        <v>4.1666666666666664E-2</v>
      </c>
      <c r="D50" s="6">
        <f t="shared" si="2"/>
        <v>100</v>
      </c>
      <c r="E50" s="2" t="s">
        <v>9</v>
      </c>
      <c r="F50" s="6" t="e">
        <f t="shared" si="1"/>
        <v>#VALUE!</v>
      </c>
      <c r="G50" s="2" t="s">
        <v>140</v>
      </c>
      <c r="H50" s="2" t="s">
        <v>99</v>
      </c>
      <c r="I50" s="2" t="s">
        <v>126</v>
      </c>
    </row>
    <row r="51" spans="1:9" ht="26.4" hidden="1" outlineLevel="2" x14ac:dyDescent="0.25">
      <c r="A51" s="2" t="s">
        <v>141</v>
      </c>
      <c r="B51" s="3" t="s">
        <v>142</v>
      </c>
      <c r="C51" s="4">
        <v>6.25E-2</v>
      </c>
      <c r="D51" s="6">
        <f t="shared" si="2"/>
        <v>150</v>
      </c>
      <c r="E51" s="2" t="s">
        <v>26</v>
      </c>
      <c r="F51" s="6" t="e">
        <f t="shared" si="1"/>
        <v>#VALUE!</v>
      </c>
      <c r="G51" s="2" t="s">
        <v>140</v>
      </c>
      <c r="H51" s="2" t="s">
        <v>99</v>
      </c>
      <c r="I51" s="2" t="s">
        <v>126</v>
      </c>
    </row>
    <row r="52" spans="1:9" ht="39.6" hidden="1" outlineLevel="2" x14ac:dyDescent="0.25">
      <c r="A52" s="2" t="s">
        <v>143</v>
      </c>
      <c r="B52" s="3" t="s">
        <v>144</v>
      </c>
      <c r="C52" s="4">
        <v>6.25E-2</v>
      </c>
      <c r="D52" s="6">
        <f t="shared" si="2"/>
        <v>150</v>
      </c>
      <c r="E52" s="2" t="s">
        <v>19</v>
      </c>
      <c r="F52" s="6" t="e">
        <f t="shared" si="1"/>
        <v>#VALUE!</v>
      </c>
      <c r="G52" s="2" t="s">
        <v>145</v>
      </c>
      <c r="H52" s="2" t="s">
        <v>109</v>
      </c>
      <c r="I52" s="2" t="s">
        <v>126</v>
      </c>
    </row>
    <row r="53" spans="1:9" ht="26.4" hidden="1" outlineLevel="2" x14ac:dyDescent="0.25">
      <c r="A53" s="2" t="s">
        <v>146</v>
      </c>
      <c r="B53" s="3" t="s">
        <v>147</v>
      </c>
      <c r="C53" s="4">
        <v>6.25E-2</v>
      </c>
      <c r="D53" s="6">
        <f t="shared" si="2"/>
        <v>150</v>
      </c>
      <c r="E53" s="2" t="s">
        <v>9</v>
      </c>
      <c r="F53" s="6" t="e">
        <f t="shared" si="1"/>
        <v>#VALUE!</v>
      </c>
      <c r="G53" s="2" t="s">
        <v>145</v>
      </c>
      <c r="H53" s="2" t="s">
        <v>109</v>
      </c>
      <c r="I53" s="2" t="s">
        <v>126</v>
      </c>
    </row>
    <row r="54" spans="1:9" ht="39.6" hidden="1" outlineLevel="2" x14ac:dyDescent="0.25">
      <c r="A54" s="2" t="s">
        <v>148</v>
      </c>
      <c r="B54" s="3" t="s">
        <v>149</v>
      </c>
      <c r="C54" s="4">
        <v>4.1666666666666664E-2</v>
      </c>
      <c r="D54" s="6">
        <f t="shared" si="2"/>
        <v>100</v>
      </c>
      <c r="E54" s="2" t="s">
        <v>9</v>
      </c>
      <c r="F54" s="6" t="e">
        <f t="shared" si="1"/>
        <v>#VALUE!</v>
      </c>
      <c r="G54" s="2" t="s">
        <v>145</v>
      </c>
      <c r="H54" s="2" t="s">
        <v>145</v>
      </c>
      <c r="I54" s="2" t="s">
        <v>126</v>
      </c>
    </row>
    <row r="55" spans="1:9" ht="26.4" hidden="1" outlineLevel="2" x14ac:dyDescent="0.25">
      <c r="A55" s="2" t="s">
        <v>150</v>
      </c>
      <c r="B55" s="3" t="s">
        <v>151</v>
      </c>
      <c r="C55" s="4">
        <v>3.125E-2</v>
      </c>
      <c r="D55" s="6">
        <f t="shared" si="2"/>
        <v>75</v>
      </c>
      <c r="E55" s="2" t="s">
        <v>19</v>
      </c>
      <c r="F55" s="6" t="e">
        <f t="shared" si="1"/>
        <v>#VALUE!</v>
      </c>
      <c r="G55" s="2" t="s">
        <v>98</v>
      </c>
      <c r="H55" s="2" t="s">
        <v>140</v>
      </c>
      <c r="I55" s="2" t="s">
        <v>126</v>
      </c>
    </row>
    <row r="56" spans="1:9" ht="26.4" hidden="1" outlineLevel="2" x14ac:dyDescent="0.25">
      <c r="A56" s="2" t="s">
        <v>152</v>
      </c>
      <c r="B56" s="3" t="s">
        <v>153</v>
      </c>
      <c r="C56" s="4">
        <v>4.1666666666666664E-2</v>
      </c>
      <c r="D56" s="6">
        <f t="shared" si="2"/>
        <v>100</v>
      </c>
      <c r="E56" s="2" t="s">
        <v>19</v>
      </c>
      <c r="F56" s="6" t="e">
        <f t="shared" si="1"/>
        <v>#VALUE!</v>
      </c>
      <c r="G56" s="2" t="s">
        <v>154</v>
      </c>
      <c r="H56" s="2" t="s">
        <v>78</v>
      </c>
      <c r="I56" s="2" t="s">
        <v>126</v>
      </c>
    </row>
    <row r="57" spans="1:9" outlineLevel="1" x14ac:dyDescent="0.25">
      <c r="A57" s="2" t="s">
        <v>155</v>
      </c>
      <c r="B57" s="3" t="s">
        <v>72</v>
      </c>
      <c r="C57" s="4">
        <v>0.41666666666666669</v>
      </c>
      <c r="D57" s="6">
        <f t="shared" si="2"/>
        <v>1000</v>
      </c>
      <c r="E57" s="4">
        <v>0</v>
      </c>
      <c r="F57" s="6">
        <f t="shared" si="1"/>
        <v>0</v>
      </c>
      <c r="G57" s="2" t="s">
        <v>77</v>
      </c>
      <c r="H57" s="2" t="s">
        <v>78</v>
      </c>
      <c r="I57" s="2" t="s">
        <v>75</v>
      </c>
    </row>
    <row r="58" spans="1:9" ht="26.4" outlineLevel="1" x14ac:dyDescent="0.25">
      <c r="A58" s="2" t="s">
        <v>156</v>
      </c>
      <c r="B58" s="3" t="s">
        <v>157</v>
      </c>
      <c r="C58" s="4">
        <v>4.1666666666666664E-2</v>
      </c>
      <c r="D58" s="6">
        <f t="shared" si="2"/>
        <v>100</v>
      </c>
      <c r="E58" s="4">
        <v>0</v>
      </c>
      <c r="F58" s="6">
        <f t="shared" si="1"/>
        <v>0</v>
      </c>
      <c r="G58" s="2" t="s">
        <v>78</v>
      </c>
      <c r="H58" s="2" t="s">
        <v>78</v>
      </c>
      <c r="I58" s="2" t="s">
        <v>75</v>
      </c>
    </row>
    <row r="59" spans="1:9" x14ac:dyDescent="0.25">
      <c r="A59" s="2" t="s">
        <v>158</v>
      </c>
      <c r="B59" s="3" t="s">
        <v>159</v>
      </c>
      <c r="C59" s="5">
        <f>SUMIF($I$60:$I$80,"TTT-7",C60:$C$80)</f>
        <v>6.7500000000000009</v>
      </c>
      <c r="D59" s="6">
        <f t="shared" si="2"/>
        <v>16200.000000000004</v>
      </c>
      <c r="E59" s="4">
        <f>SUMIF($I$60:$I$80,"TTT-7",E60:$E$80)</f>
        <v>0</v>
      </c>
      <c r="F59" s="6">
        <f t="shared" si="1"/>
        <v>0</v>
      </c>
      <c r="G59" s="2" t="s">
        <v>160</v>
      </c>
      <c r="H59" s="2" t="s">
        <v>6</v>
      </c>
      <c r="I59" s="2" t="s">
        <v>3</v>
      </c>
    </row>
    <row r="60" spans="1:9" ht="39.6" outlineLevel="1" collapsed="1" x14ac:dyDescent="0.25">
      <c r="A60" s="2" t="s">
        <v>161</v>
      </c>
      <c r="B60" s="3" t="s">
        <v>162</v>
      </c>
      <c r="C60" s="5">
        <f>SUMIF($I$61:$I$80,"TTT-156",C61:$C$80)</f>
        <v>1.0416666666666665</v>
      </c>
      <c r="D60" s="6">
        <f t="shared" si="2"/>
        <v>2499.9999999999995</v>
      </c>
      <c r="E60" s="4">
        <f>SUMIF($I$61:$I$80,"TTT-156",E61:$E$80)</f>
        <v>0</v>
      </c>
      <c r="F60" s="6">
        <f t="shared" si="1"/>
        <v>0</v>
      </c>
      <c r="G60" s="2" t="s">
        <v>160</v>
      </c>
      <c r="H60" s="2" t="s">
        <v>163</v>
      </c>
      <c r="I60" s="2" t="s">
        <v>158</v>
      </c>
    </row>
    <row r="61" spans="1:9" ht="26.4" hidden="1" outlineLevel="2" x14ac:dyDescent="0.25">
      <c r="A61" s="2" t="s">
        <v>164</v>
      </c>
      <c r="B61" s="3" t="s">
        <v>165</v>
      </c>
      <c r="C61" s="4">
        <v>0.125</v>
      </c>
      <c r="D61" s="6">
        <f t="shared" si="2"/>
        <v>300</v>
      </c>
      <c r="E61" s="4">
        <v>0</v>
      </c>
      <c r="F61" s="6">
        <f t="shared" si="1"/>
        <v>0</v>
      </c>
      <c r="G61" s="2" t="s">
        <v>160</v>
      </c>
      <c r="H61" s="2" t="s">
        <v>166</v>
      </c>
      <c r="I61" s="2" t="s">
        <v>161</v>
      </c>
    </row>
    <row r="62" spans="1:9" ht="26.4" hidden="1" outlineLevel="2" x14ac:dyDescent="0.25">
      <c r="A62" s="2" t="s">
        <v>167</v>
      </c>
      <c r="B62" s="3" t="s">
        <v>168</v>
      </c>
      <c r="C62" s="4">
        <v>0.33333333333333331</v>
      </c>
      <c r="D62" s="6">
        <f t="shared" si="2"/>
        <v>800</v>
      </c>
      <c r="E62" s="4">
        <v>0</v>
      </c>
      <c r="F62" s="6">
        <f t="shared" si="1"/>
        <v>0</v>
      </c>
      <c r="G62" s="2" t="s">
        <v>169</v>
      </c>
      <c r="H62" s="2" t="s">
        <v>170</v>
      </c>
      <c r="I62" s="2" t="s">
        <v>161</v>
      </c>
    </row>
    <row r="63" spans="1:9" ht="26.4" hidden="1" outlineLevel="2" x14ac:dyDescent="0.25">
      <c r="A63" s="2" t="s">
        <v>171</v>
      </c>
      <c r="B63" s="3" t="s">
        <v>172</v>
      </c>
      <c r="C63" s="4">
        <v>0.25</v>
      </c>
      <c r="D63" s="6">
        <f t="shared" si="2"/>
        <v>600</v>
      </c>
      <c r="E63" s="4">
        <v>0</v>
      </c>
      <c r="F63" s="6">
        <f t="shared" si="1"/>
        <v>0</v>
      </c>
      <c r="G63" s="2" t="s">
        <v>173</v>
      </c>
      <c r="H63" s="2" t="s">
        <v>174</v>
      </c>
      <c r="I63" s="2" t="s">
        <v>161</v>
      </c>
    </row>
    <row r="64" spans="1:9" ht="26.4" hidden="1" outlineLevel="2" x14ac:dyDescent="0.25">
      <c r="A64" s="2" t="s">
        <v>175</v>
      </c>
      <c r="B64" s="3" t="s">
        <v>176</v>
      </c>
      <c r="C64" s="4">
        <v>0.33333333333333331</v>
      </c>
      <c r="D64" s="6">
        <f t="shared" si="2"/>
        <v>800</v>
      </c>
      <c r="E64" s="4">
        <v>0</v>
      </c>
      <c r="F64" s="6">
        <f t="shared" si="1"/>
        <v>0</v>
      </c>
      <c r="G64" s="2" t="s">
        <v>177</v>
      </c>
      <c r="H64" s="2" t="s">
        <v>163</v>
      </c>
      <c r="I64" s="2" t="s">
        <v>161</v>
      </c>
    </row>
    <row r="65" spans="1:9" ht="26.4" outlineLevel="1" collapsed="1" x14ac:dyDescent="0.25">
      <c r="A65" s="2" t="s">
        <v>178</v>
      </c>
      <c r="B65" s="3" t="s">
        <v>179</v>
      </c>
      <c r="C65" s="5">
        <f>SUMIF($I$66:$I$80,"TTT-155",C66:$C$80)</f>
        <v>1</v>
      </c>
      <c r="D65" s="6">
        <f t="shared" si="2"/>
        <v>2400</v>
      </c>
      <c r="E65" s="4">
        <f>SUMIF($I$66:$I$80,"TTT-155",E66:$E$80)</f>
        <v>0</v>
      </c>
      <c r="F65" s="6">
        <f t="shared" si="1"/>
        <v>0</v>
      </c>
      <c r="G65" s="2" t="s">
        <v>160</v>
      </c>
      <c r="H65" s="2" t="s">
        <v>177</v>
      </c>
      <c r="I65" s="2" t="s">
        <v>158</v>
      </c>
    </row>
    <row r="66" spans="1:9" ht="26.4" hidden="1" outlineLevel="2" x14ac:dyDescent="0.25">
      <c r="A66" s="2" t="s">
        <v>180</v>
      </c>
      <c r="B66" s="3" t="s">
        <v>181</v>
      </c>
      <c r="C66" s="4">
        <v>0.33333333333333331</v>
      </c>
      <c r="D66" s="6">
        <f t="shared" si="2"/>
        <v>800</v>
      </c>
      <c r="E66" s="4">
        <v>0</v>
      </c>
      <c r="F66" s="6">
        <f t="shared" si="1"/>
        <v>0</v>
      </c>
      <c r="G66" s="2" t="s">
        <v>182</v>
      </c>
      <c r="H66" s="2" t="s">
        <v>169</v>
      </c>
      <c r="I66" s="2" t="s">
        <v>178</v>
      </c>
    </row>
    <row r="67" spans="1:9" ht="26.4" hidden="1" outlineLevel="2" x14ac:dyDescent="0.25">
      <c r="A67" s="2" t="s">
        <v>183</v>
      </c>
      <c r="B67" s="3" t="s">
        <v>184</v>
      </c>
      <c r="C67" s="4">
        <v>0.66666666666666663</v>
      </c>
      <c r="D67" s="6">
        <f t="shared" si="2"/>
        <v>1600</v>
      </c>
      <c r="E67" s="4">
        <v>0</v>
      </c>
      <c r="F67" s="6">
        <f t="shared" ref="F67:F80" si="3">E67*24*100</f>
        <v>0</v>
      </c>
      <c r="G67" s="2" t="s">
        <v>160</v>
      </c>
      <c r="H67" s="2" t="s">
        <v>177</v>
      </c>
      <c r="I67" s="2" t="s">
        <v>178</v>
      </c>
    </row>
    <row r="68" spans="1:9" ht="26.4" outlineLevel="1" collapsed="1" x14ac:dyDescent="0.25">
      <c r="A68" s="2" t="s">
        <v>185</v>
      </c>
      <c r="B68" s="3" t="s">
        <v>186</v>
      </c>
      <c r="C68" s="5">
        <f>SUMIF($I$69:$I$80,"TTT-157",C69:$C$80)</f>
        <v>1</v>
      </c>
      <c r="D68" s="6">
        <f t="shared" si="2"/>
        <v>2400</v>
      </c>
      <c r="E68" s="4">
        <f>SUMIF($I$69:$I$80,"TTT-157",E69:$E$80)</f>
        <v>0</v>
      </c>
      <c r="F68" s="6">
        <f t="shared" si="3"/>
        <v>0</v>
      </c>
      <c r="G68" s="2" t="s">
        <v>160</v>
      </c>
      <c r="H68" s="2" t="s">
        <v>187</v>
      </c>
      <c r="I68" s="2" t="s">
        <v>158</v>
      </c>
    </row>
    <row r="69" spans="1:9" ht="26.4" hidden="1" outlineLevel="2" x14ac:dyDescent="0.25">
      <c r="A69" s="2" t="s">
        <v>188</v>
      </c>
      <c r="B69" s="3" t="s">
        <v>189</v>
      </c>
      <c r="C69" s="4">
        <v>0.66666666666666663</v>
      </c>
      <c r="D69" s="6">
        <f t="shared" ref="D69:D80" si="4">C69*24*100</f>
        <v>1600</v>
      </c>
      <c r="E69" s="4">
        <v>0</v>
      </c>
      <c r="F69" s="6">
        <f t="shared" si="3"/>
        <v>0</v>
      </c>
      <c r="G69" s="2" t="s">
        <v>160</v>
      </c>
      <c r="H69" s="2" t="s">
        <v>190</v>
      </c>
      <c r="I69" s="2" t="s">
        <v>185</v>
      </c>
    </row>
    <row r="70" spans="1:9" ht="26.4" hidden="1" outlineLevel="2" x14ac:dyDescent="0.25">
      <c r="A70" s="2" t="s">
        <v>191</v>
      </c>
      <c r="B70" s="3" t="s">
        <v>192</v>
      </c>
      <c r="C70" s="4">
        <v>0.33333333333333331</v>
      </c>
      <c r="D70" s="6">
        <f t="shared" si="4"/>
        <v>800</v>
      </c>
      <c r="E70" s="4">
        <v>0</v>
      </c>
      <c r="F70" s="6">
        <f t="shared" si="3"/>
        <v>0</v>
      </c>
      <c r="G70" s="2" t="s">
        <v>193</v>
      </c>
      <c r="H70" s="2" t="s">
        <v>187</v>
      </c>
      <c r="I70" s="2" t="s">
        <v>185</v>
      </c>
    </row>
    <row r="71" spans="1:9" ht="39.6" outlineLevel="1" collapsed="1" x14ac:dyDescent="0.25">
      <c r="A71" s="2" t="s">
        <v>194</v>
      </c>
      <c r="B71" s="3" t="s">
        <v>195</v>
      </c>
      <c r="C71" s="4">
        <f>SUMIF($I$72:$I$80,"TTT-158",C72:$C$80)</f>
        <v>0.33333333333333331</v>
      </c>
      <c r="D71" s="6">
        <f t="shared" si="4"/>
        <v>800</v>
      </c>
      <c r="E71" s="4">
        <f>SUMIF($I$72:$I$80,"TTT-158",E72:$E$80)</f>
        <v>0</v>
      </c>
      <c r="F71" s="6">
        <f t="shared" si="3"/>
        <v>0</v>
      </c>
      <c r="G71" s="2" t="s">
        <v>196</v>
      </c>
      <c r="H71" s="2" t="s">
        <v>197</v>
      </c>
      <c r="I71" s="2" t="s">
        <v>158</v>
      </c>
    </row>
    <row r="72" spans="1:9" ht="26.4" hidden="1" outlineLevel="2" x14ac:dyDescent="0.25">
      <c r="A72" s="2" t="s">
        <v>198</v>
      </c>
      <c r="B72" s="3" t="s">
        <v>199</v>
      </c>
      <c r="C72" s="4">
        <v>0.33333333333333331</v>
      </c>
      <c r="D72" s="6">
        <f t="shared" si="4"/>
        <v>800</v>
      </c>
      <c r="E72" s="4">
        <v>0</v>
      </c>
      <c r="F72" s="6">
        <f t="shared" si="3"/>
        <v>0</v>
      </c>
      <c r="G72" s="2" t="s">
        <v>196</v>
      </c>
      <c r="H72" s="2" t="s">
        <v>197</v>
      </c>
      <c r="I72" s="2" t="s">
        <v>194</v>
      </c>
    </row>
    <row r="73" spans="1:9" outlineLevel="1" collapsed="1" x14ac:dyDescent="0.25">
      <c r="A73" s="2" t="s">
        <v>200</v>
      </c>
      <c r="B73" s="3" t="s">
        <v>201</v>
      </c>
      <c r="C73" s="5">
        <f>SUMIF($I$74:$I$80,"TTT-171",C74:$C$80)</f>
        <v>1.6666666666666667</v>
      </c>
      <c r="D73" s="6">
        <f t="shared" si="4"/>
        <v>4000</v>
      </c>
      <c r="E73" s="4">
        <f>SUMIF($I$74:$I$80,"TTT-171",E74:$E$80)</f>
        <v>0</v>
      </c>
      <c r="F73" s="6">
        <f t="shared" si="3"/>
        <v>0</v>
      </c>
      <c r="G73" s="2" t="s">
        <v>160</v>
      </c>
      <c r="H73" s="2" t="s">
        <v>6</v>
      </c>
      <c r="I73" s="2" t="s">
        <v>158</v>
      </c>
    </row>
    <row r="74" spans="1:9" hidden="1" outlineLevel="2" x14ac:dyDescent="0.25">
      <c r="A74" s="2" t="s">
        <v>202</v>
      </c>
      <c r="B74" s="3" t="s">
        <v>203</v>
      </c>
      <c r="C74" s="4">
        <v>0.41666666666666669</v>
      </c>
      <c r="D74" s="6">
        <f t="shared" si="4"/>
        <v>1000</v>
      </c>
      <c r="E74" s="4">
        <v>0</v>
      </c>
      <c r="F74" s="6">
        <f t="shared" si="3"/>
        <v>0</v>
      </c>
      <c r="G74" s="2" t="s">
        <v>163</v>
      </c>
      <c r="H74" s="2" t="s">
        <v>204</v>
      </c>
      <c r="I74" s="2" t="s">
        <v>200</v>
      </c>
    </row>
    <row r="75" spans="1:9" ht="26.4" hidden="1" outlineLevel="2" x14ac:dyDescent="0.25">
      <c r="A75" s="2" t="s">
        <v>205</v>
      </c>
      <c r="B75" s="3" t="s">
        <v>206</v>
      </c>
      <c r="C75" s="5">
        <v>1.25</v>
      </c>
      <c r="D75" s="6">
        <f t="shared" si="4"/>
        <v>3000</v>
      </c>
      <c r="E75" s="4">
        <v>0</v>
      </c>
      <c r="F75" s="6">
        <f t="shared" si="3"/>
        <v>0</v>
      </c>
      <c r="G75" s="2" t="s">
        <v>160</v>
      </c>
      <c r="H75" s="2" t="s">
        <v>6</v>
      </c>
      <c r="I75" s="2" t="s">
        <v>200</v>
      </c>
    </row>
    <row r="76" spans="1:9" outlineLevel="1" collapsed="1" x14ac:dyDescent="0.25">
      <c r="A76" s="2" t="s">
        <v>207</v>
      </c>
      <c r="B76" s="3" t="s">
        <v>208</v>
      </c>
      <c r="C76" s="5">
        <f>SUMIF($I$77:$I$80,"TTT-168",C77:$C$80)</f>
        <v>1.6666666666666667</v>
      </c>
      <c r="D76" s="6">
        <f t="shared" si="4"/>
        <v>4000</v>
      </c>
      <c r="E76" s="4">
        <f>SUMIF($I$77:$I$80,"TTT-168",E77:$E$80)</f>
        <v>0</v>
      </c>
      <c r="F76" s="6">
        <f t="shared" si="3"/>
        <v>0</v>
      </c>
      <c r="G76" s="2" t="s">
        <v>160</v>
      </c>
      <c r="H76" s="2" t="s">
        <v>160</v>
      </c>
      <c r="I76" s="2" t="s">
        <v>158</v>
      </c>
    </row>
    <row r="77" spans="1:9" hidden="1" outlineLevel="2" x14ac:dyDescent="0.25">
      <c r="A77" s="2" t="s">
        <v>209</v>
      </c>
      <c r="B77" s="3" t="s">
        <v>210</v>
      </c>
      <c r="C77" s="5">
        <v>1.25</v>
      </c>
      <c r="D77" s="6">
        <f t="shared" si="4"/>
        <v>3000</v>
      </c>
      <c r="E77" s="4">
        <v>0</v>
      </c>
      <c r="F77" s="6">
        <f t="shared" si="3"/>
        <v>0</v>
      </c>
      <c r="G77" s="2" t="s">
        <v>160</v>
      </c>
      <c r="H77" s="2" t="s">
        <v>160</v>
      </c>
      <c r="I77" s="2" t="s">
        <v>207</v>
      </c>
    </row>
    <row r="78" spans="1:9" hidden="1" outlineLevel="2" x14ac:dyDescent="0.25">
      <c r="A78" s="2" t="s">
        <v>211</v>
      </c>
      <c r="B78" s="3" t="s">
        <v>212</v>
      </c>
      <c r="C78" s="4">
        <v>0.41666666666666669</v>
      </c>
      <c r="D78" s="6">
        <f t="shared" si="4"/>
        <v>1000</v>
      </c>
      <c r="E78" s="4">
        <v>0</v>
      </c>
      <c r="F78" s="6">
        <f t="shared" si="3"/>
        <v>0</v>
      </c>
      <c r="G78" s="2" t="s">
        <v>160</v>
      </c>
      <c r="H78" s="2" t="s">
        <v>160</v>
      </c>
      <c r="I78" s="2" t="s">
        <v>207</v>
      </c>
    </row>
    <row r="79" spans="1:9" outlineLevel="1" x14ac:dyDescent="0.25">
      <c r="A79" s="2" t="s">
        <v>213</v>
      </c>
      <c r="B79" s="3" t="s">
        <v>214</v>
      </c>
      <c r="C79" s="4">
        <v>4.1666666666666664E-2</v>
      </c>
      <c r="D79" s="6">
        <f t="shared" si="4"/>
        <v>100</v>
      </c>
      <c r="E79" s="4">
        <v>0</v>
      </c>
      <c r="F79" s="6">
        <f t="shared" si="3"/>
        <v>0</v>
      </c>
      <c r="G79" s="2" t="s">
        <v>6</v>
      </c>
      <c r="H79" s="2" t="s">
        <v>6</v>
      </c>
      <c r="I79" s="2" t="s">
        <v>158</v>
      </c>
    </row>
    <row r="80" spans="1:9" x14ac:dyDescent="0.25">
      <c r="A80" s="2" t="s">
        <v>215</v>
      </c>
      <c r="B80" s="3" t="s">
        <v>216</v>
      </c>
      <c r="C80" s="4">
        <v>0</v>
      </c>
      <c r="D80" s="6">
        <f t="shared" si="4"/>
        <v>0</v>
      </c>
      <c r="E80" s="4">
        <v>0</v>
      </c>
      <c r="F80" s="6">
        <f t="shared" si="3"/>
        <v>0</v>
      </c>
      <c r="G80" s="2" t="s">
        <v>6</v>
      </c>
      <c r="H80" s="2" t="s">
        <v>6</v>
      </c>
      <c r="I80" s="2" t="s">
        <v>3</v>
      </c>
    </row>
  </sheetData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00000000-0004-0000-0000-00000A000000}"/>
    <hyperlink ref="A13" r:id="rId12" xr:uid="{00000000-0004-0000-0000-00000B000000}"/>
    <hyperlink ref="A14" r:id="rId13" xr:uid="{00000000-0004-0000-0000-00000C000000}"/>
    <hyperlink ref="A15" r:id="rId14" xr:uid="{00000000-0004-0000-0000-00000D000000}"/>
    <hyperlink ref="A16" r:id="rId15" xr:uid="{00000000-0004-0000-0000-00000E000000}"/>
    <hyperlink ref="A17" r:id="rId16" xr:uid="{00000000-0004-0000-0000-00000F000000}"/>
    <hyperlink ref="A18" r:id="rId17" xr:uid="{00000000-0004-0000-0000-000010000000}"/>
    <hyperlink ref="A19" r:id="rId18" xr:uid="{00000000-0004-0000-0000-000011000000}"/>
    <hyperlink ref="A20" r:id="rId19" xr:uid="{00000000-0004-0000-0000-000012000000}"/>
    <hyperlink ref="A21" r:id="rId20" xr:uid="{00000000-0004-0000-0000-000013000000}"/>
    <hyperlink ref="A22" r:id="rId21" xr:uid="{00000000-0004-0000-0000-000014000000}"/>
    <hyperlink ref="A23" r:id="rId22" xr:uid="{00000000-0004-0000-0000-000015000000}"/>
    <hyperlink ref="A24" r:id="rId23" xr:uid="{00000000-0004-0000-0000-000016000000}"/>
    <hyperlink ref="A25" r:id="rId24" xr:uid="{00000000-0004-0000-0000-000017000000}"/>
    <hyperlink ref="A26" r:id="rId25" xr:uid="{00000000-0004-0000-0000-000018000000}"/>
    <hyperlink ref="A27" r:id="rId26" xr:uid="{00000000-0004-0000-0000-000019000000}"/>
    <hyperlink ref="A28" r:id="rId27" xr:uid="{00000000-0004-0000-0000-00001A000000}"/>
    <hyperlink ref="A29" r:id="rId28" xr:uid="{00000000-0004-0000-0000-00001B000000}"/>
    <hyperlink ref="A30" r:id="rId29" xr:uid="{00000000-0004-0000-0000-00001C000000}"/>
    <hyperlink ref="A31" r:id="rId30" xr:uid="{00000000-0004-0000-0000-00001D000000}"/>
    <hyperlink ref="A32" r:id="rId31" xr:uid="{00000000-0004-0000-0000-00001E000000}"/>
    <hyperlink ref="A33" r:id="rId32" xr:uid="{00000000-0004-0000-0000-00001F000000}"/>
    <hyperlink ref="A34" r:id="rId33" xr:uid="{00000000-0004-0000-0000-000020000000}"/>
    <hyperlink ref="A35" r:id="rId34" xr:uid="{00000000-0004-0000-0000-000021000000}"/>
    <hyperlink ref="A36" r:id="rId35" xr:uid="{00000000-0004-0000-0000-000022000000}"/>
    <hyperlink ref="A37" r:id="rId36" xr:uid="{00000000-0004-0000-0000-000023000000}"/>
    <hyperlink ref="A38" r:id="rId37" xr:uid="{00000000-0004-0000-0000-000024000000}"/>
    <hyperlink ref="A39" r:id="rId38" xr:uid="{00000000-0004-0000-0000-000025000000}"/>
    <hyperlink ref="A40" r:id="rId39" xr:uid="{00000000-0004-0000-0000-000026000000}"/>
    <hyperlink ref="A41" r:id="rId40" xr:uid="{00000000-0004-0000-0000-000027000000}"/>
    <hyperlink ref="A42" r:id="rId41" xr:uid="{00000000-0004-0000-0000-000028000000}"/>
    <hyperlink ref="A43" r:id="rId42" xr:uid="{00000000-0004-0000-0000-000029000000}"/>
    <hyperlink ref="A44" r:id="rId43" xr:uid="{00000000-0004-0000-0000-00002A000000}"/>
    <hyperlink ref="A45" r:id="rId44" xr:uid="{00000000-0004-0000-0000-00002B000000}"/>
    <hyperlink ref="A46" r:id="rId45" xr:uid="{00000000-0004-0000-0000-00002C000000}"/>
    <hyperlink ref="A47" r:id="rId46" xr:uid="{00000000-0004-0000-0000-00002D000000}"/>
    <hyperlink ref="A48" r:id="rId47" xr:uid="{00000000-0004-0000-0000-00002E000000}"/>
    <hyperlink ref="A49" r:id="rId48" xr:uid="{00000000-0004-0000-0000-00002F000000}"/>
    <hyperlink ref="A50" r:id="rId49" xr:uid="{00000000-0004-0000-0000-000030000000}"/>
    <hyperlink ref="A51" r:id="rId50" xr:uid="{00000000-0004-0000-0000-000031000000}"/>
    <hyperlink ref="A52" r:id="rId51" xr:uid="{00000000-0004-0000-0000-000032000000}"/>
    <hyperlink ref="A53" r:id="rId52" xr:uid="{00000000-0004-0000-0000-000033000000}"/>
    <hyperlink ref="A54" r:id="rId53" xr:uid="{00000000-0004-0000-0000-000034000000}"/>
    <hyperlink ref="A55" r:id="rId54" xr:uid="{00000000-0004-0000-0000-000035000000}"/>
    <hyperlink ref="A56" r:id="rId55" xr:uid="{00000000-0004-0000-0000-000036000000}"/>
    <hyperlink ref="A57" r:id="rId56" xr:uid="{00000000-0004-0000-0000-000037000000}"/>
    <hyperlink ref="A58" r:id="rId57" xr:uid="{00000000-0004-0000-0000-000038000000}"/>
    <hyperlink ref="A59" r:id="rId58" xr:uid="{00000000-0004-0000-0000-000039000000}"/>
    <hyperlink ref="A60" r:id="rId59" xr:uid="{00000000-0004-0000-0000-00003A000000}"/>
    <hyperlink ref="A61" r:id="rId60" xr:uid="{00000000-0004-0000-0000-00003B000000}"/>
    <hyperlink ref="A62" r:id="rId61" xr:uid="{00000000-0004-0000-0000-00003C000000}"/>
    <hyperlink ref="A63" r:id="rId62" xr:uid="{00000000-0004-0000-0000-00003D000000}"/>
    <hyperlink ref="A64" r:id="rId63" xr:uid="{00000000-0004-0000-0000-00003E000000}"/>
    <hyperlink ref="A65" r:id="rId64" xr:uid="{00000000-0004-0000-0000-00003F000000}"/>
    <hyperlink ref="A66" r:id="rId65" xr:uid="{00000000-0004-0000-0000-000040000000}"/>
    <hyperlink ref="A67" r:id="rId66" xr:uid="{00000000-0004-0000-0000-000041000000}"/>
    <hyperlink ref="A68" r:id="rId67" xr:uid="{00000000-0004-0000-0000-000042000000}"/>
    <hyperlink ref="A69" r:id="rId68" xr:uid="{00000000-0004-0000-0000-000043000000}"/>
    <hyperlink ref="A70" r:id="rId69" xr:uid="{00000000-0004-0000-0000-000044000000}"/>
    <hyperlink ref="A71" r:id="rId70" xr:uid="{00000000-0004-0000-0000-000045000000}"/>
    <hyperlink ref="A72" r:id="rId71" xr:uid="{00000000-0004-0000-0000-000046000000}"/>
    <hyperlink ref="A73" r:id="rId72" xr:uid="{00000000-0004-0000-0000-000047000000}"/>
    <hyperlink ref="A74" r:id="rId73" xr:uid="{00000000-0004-0000-0000-000048000000}"/>
    <hyperlink ref="A75" r:id="rId74" xr:uid="{00000000-0004-0000-0000-000049000000}"/>
    <hyperlink ref="A76" r:id="rId75" xr:uid="{00000000-0004-0000-0000-00004A000000}"/>
    <hyperlink ref="A77" r:id="rId76" xr:uid="{00000000-0004-0000-0000-00004B000000}"/>
    <hyperlink ref="A78" r:id="rId77" xr:uid="{00000000-0004-0000-0000-00004C000000}"/>
    <hyperlink ref="A79" r:id="rId78" xr:uid="{00000000-0004-0000-0000-00004D000000}"/>
    <hyperlink ref="A80" r:id="rId79" xr:uid="{00000000-0004-0000-0000-00004E000000}"/>
  </hyperlinks>
  <pageMargins left="0.98425196850393704" right="1.1811023622047245" top="1.5748031496062993" bottom="0.98425196850393704" header="0.9055118110236221" footer="0.51181102362204722"/>
  <pageSetup paperSize="9" orientation="landscape" r:id="rId80"/>
  <headerFooter>
    <oddHeader>&amp;RStundensatz: 100 CHF / h
Datum: 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Samuel Salomon</dc:creator>
  <cp:keywords/>
  <dc:description/>
  <cp:lastModifiedBy>Samuel Salomon</cp:lastModifiedBy>
  <cp:lastPrinted>2020-06-24T21:11:28Z</cp:lastPrinted>
  <dcterms:created xsi:type="dcterms:W3CDTF">2020-06-22T20:31:57Z</dcterms:created>
  <dcterms:modified xsi:type="dcterms:W3CDTF">2020-06-25T17:29:58Z</dcterms:modified>
  <cp:category/>
</cp:coreProperties>
</file>